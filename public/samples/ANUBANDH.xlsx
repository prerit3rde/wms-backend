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ECA19835-ACDB-456E-BA6E-0BCFFD951DC5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2025-26" sheetId="2" r:id="rId1"/>
    <sheet name="2024-25 " sheetId="3" r:id="rId2"/>
  </sheets>
  <definedNames>
    <definedName name="_xlnm._FilterDatabase" localSheetId="1" hidden="1">'2024-25 '!$A$2:$EB$155</definedName>
    <definedName name="_xlnm._FilterDatabase" localSheetId="0" hidden="1">'2025-26'!$A$2:$AM$3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5" i="3" l="1"/>
  <c r="S155" i="3" s="1"/>
  <c r="N155" i="3"/>
  <c r="P155" i="3" s="1"/>
  <c r="Q154" i="3"/>
  <c r="S154" i="3" s="1"/>
  <c r="N154" i="3"/>
  <c r="P154" i="3" s="1"/>
  <c r="Q153" i="3"/>
  <c r="S153" i="3" s="1"/>
  <c r="P153" i="3"/>
  <c r="Q152" i="3"/>
  <c r="S152" i="3" s="1"/>
  <c r="P152" i="3"/>
  <c r="N152" i="3"/>
  <c r="Q151" i="3"/>
  <c r="S151" i="3" s="1"/>
  <c r="P151" i="3"/>
  <c r="N151" i="3"/>
  <c r="R150" i="3"/>
  <c r="Q150" i="3"/>
  <c r="S150" i="3" s="1"/>
  <c r="N150" i="3"/>
  <c r="P150" i="3" s="1"/>
  <c r="Q149" i="3"/>
  <c r="S149" i="3" s="1"/>
  <c r="P149" i="3"/>
  <c r="Q148" i="3"/>
  <c r="S148" i="3" s="1"/>
  <c r="P148" i="3"/>
  <c r="S147" i="3"/>
  <c r="P147" i="3"/>
  <c r="S146" i="3"/>
  <c r="R146" i="3"/>
  <c r="P146" i="3"/>
  <c r="Q145" i="3"/>
  <c r="S145" i="3" s="1"/>
  <c r="P145" i="3"/>
  <c r="N145" i="3"/>
  <c r="Q144" i="3"/>
  <c r="S144" i="3" s="1"/>
  <c r="P144" i="3"/>
  <c r="N144" i="3"/>
  <c r="Q143" i="3"/>
  <c r="S143" i="3" s="1"/>
  <c r="P143" i="3"/>
  <c r="Q142" i="3"/>
  <c r="S142" i="3" s="1"/>
  <c r="N142" i="3"/>
  <c r="P142" i="3" s="1"/>
  <c r="Q141" i="3"/>
  <c r="S141" i="3" s="1"/>
  <c r="P141" i="3"/>
  <c r="S140" i="3"/>
  <c r="Q140" i="3"/>
  <c r="P140" i="3"/>
  <c r="Q139" i="3"/>
  <c r="S139" i="3" s="1"/>
  <c r="P139" i="3"/>
  <c r="R138" i="3"/>
  <c r="S138" i="3" s="1"/>
  <c r="P138" i="3"/>
  <c r="N138" i="3"/>
  <c r="S137" i="3"/>
  <c r="P137" i="3"/>
  <c r="S136" i="3"/>
  <c r="R136" i="3"/>
  <c r="Q136" i="3"/>
  <c r="N136" i="3"/>
  <c r="P136" i="3" s="1"/>
  <c r="Q135" i="3"/>
  <c r="S135" i="3" s="1"/>
  <c r="P135" i="3"/>
  <c r="S134" i="3"/>
  <c r="R134" i="3"/>
  <c r="Q134" i="3"/>
  <c r="P134" i="3"/>
  <c r="S133" i="3"/>
  <c r="R133" i="3"/>
  <c r="Q133" i="3"/>
  <c r="N133" i="3"/>
  <c r="P133" i="3" s="1"/>
  <c r="Q132" i="3"/>
  <c r="S132" i="3" s="1"/>
  <c r="P132" i="3"/>
  <c r="N132" i="3"/>
  <c r="R131" i="3"/>
  <c r="Q131" i="3"/>
  <c r="S131" i="3" s="1"/>
  <c r="P131" i="3"/>
  <c r="S130" i="3"/>
  <c r="N130" i="3"/>
  <c r="P130" i="3" s="1"/>
  <c r="S129" i="3"/>
  <c r="Q129" i="3"/>
  <c r="P129" i="3"/>
  <c r="S128" i="3"/>
  <c r="R128" i="3"/>
  <c r="Q128" i="3"/>
  <c r="N128" i="3"/>
  <c r="P128" i="3" s="1"/>
  <c r="S127" i="3"/>
  <c r="R127" i="3"/>
  <c r="Q127" i="3"/>
  <c r="P127" i="3"/>
  <c r="N127" i="3"/>
  <c r="Q126" i="3"/>
  <c r="S126" i="3" s="1"/>
  <c r="P126" i="3"/>
  <c r="O126" i="3"/>
  <c r="N126" i="3"/>
  <c r="Q125" i="3"/>
  <c r="S125" i="3" s="1"/>
  <c r="P125" i="3"/>
  <c r="N125" i="3"/>
  <c r="R124" i="3"/>
  <c r="Q124" i="3"/>
  <c r="S124" i="3" s="1"/>
  <c r="P124" i="3"/>
  <c r="Q123" i="3"/>
  <c r="S123" i="3" s="1"/>
  <c r="P123" i="3"/>
  <c r="N123" i="3"/>
  <c r="Q122" i="3"/>
  <c r="S122" i="3" s="1"/>
  <c r="P122" i="3"/>
  <c r="Q121" i="3"/>
  <c r="S121" i="3" s="1"/>
  <c r="P121" i="3"/>
  <c r="N121" i="3"/>
  <c r="Q120" i="3"/>
  <c r="S120" i="3" s="1"/>
  <c r="P120" i="3"/>
  <c r="S119" i="3"/>
  <c r="Q119" i="3"/>
  <c r="P119" i="3"/>
  <c r="S118" i="3"/>
  <c r="R118" i="3"/>
  <c r="Q118" i="3"/>
  <c r="P118" i="3"/>
  <c r="Q117" i="3"/>
  <c r="S117" i="3" s="1"/>
  <c r="P117" i="3"/>
  <c r="Q116" i="3"/>
  <c r="S116" i="3" s="1"/>
  <c r="P116" i="3"/>
  <c r="Q115" i="3"/>
  <c r="S115" i="3" s="1"/>
  <c r="P115" i="3"/>
  <c r="S114" i="3"/>
  <c r="Q114" i="3"/>
  <c r="P114" i="3"/>
  <c r="Q113" i="3"/>
  <c r="S113" i="3" s="1"/>
  <c r="P113" i="3"/>
  <c r="Q112" i="3"/>
  <c r="S112" i="3" s="1"/>
  <c r="P112" i="3"/>
  <c r="Q111" i="3"/>
  <c r="S111" i="3" s="1"/>
  <c r="P111" i="3"/>
  <c r="S110" i="3"/>
  <c r="R110" i="3"/>
  <c r="Q110" i="3"/>
  <c r="P110" i="3"/>
  <c r="S109" i="3"/>
  <c r="Q109" i="3"/>
  <c r="P109" i="3"/>
  <c r="Q108" i="3"/>
  <c r="S108" i="3" s="1"/>
  <c r="P108" i="3"/>
  <c r="Q107" i="3"/>
  <c r="S107" i="3" s="1"/>
  <c r="P107" i="3"/>
  <c r="Q106" i="3"/>
  <c r="S106" i="3" s="1"/>
  <c r="P106" i="3"/>
  <c r="S105" i="3"/>
  <c r="Q105" i="3"/>
  <c r="N105" i="3"/>
  <c r="P105" i="3" s="1"/>
  <c r="Q104" i="3"/>
  <c r="P104" i="3"/>
  <c r="Q103" i="3"/>
  <c r="S103" i="3" s="1"/>
  <c r="P103" i="3"/>
  <c r="Q102" i="3"/>
  <c r="S102" i="3" s="1"/>
  <c r="P102" i="3"/>
  <c r="S101" i="3"/>
  <c r="Q101" i="3"/>
  <c r="P101" i="3"/>
  <c r="Q100" i="3"/>
  <c r="S100" i="3" s="1"/>
  <c r="P100" i="3"/>
  <c r="Q99" i="3"/>
  <c r="S99" i="3" s="1"/>
  <c r="P99" i="3"/>
  <c r="N99" i="3"/>
  <c r="Q98" i="3"/>
  <c r="S98" i="3" s="1"/>
  <c r="P98" i="3"/>
  <c r="N98" i="3"/>
  <c r="Q97" i="3"/>
  <c r="S97" i="3" s="1"/>
  <c r="P97" i="3"/>
  <c r="N97" i="3"/>
  <c r="Q96" i="3"/>
  <c r="S96" i="3" s="1"/>
  <c r="P96" i="3"/>
  <c r="Q95" i="3"/>
  <c r="S95" i="3" s="1"/>
  <c r="P95" i="3"/>
  <c r="S94" i="3"/>
  <c r="Q94" i="3"/>
  <c r="P94" i="3"/>
  <c r="Q93" i="3"/>
  <c r="S93" i="3" s="1"/>
  <c r="N93" i="3"/>
  <c r="P93" i="3" s="1"/>
  <c r="Q92" i="3"/>
  <c r="S92" i="3" s="1"/>
  <c r="P92" i="3"/>
  <c r="Q91" i="3"/>
  <c r="S91" i="3" s="1"/>
  <c r="P91" i="3"/>
  <c r="Q90" i="3"/>
  <c r="S90" i="3" s="1"/>
  <c r="P90" i="3"/>
  <c r="S89" i="3"/>
  <c r="Q89" i="3"/>
  <c r="P89" i="3"/>
  <c r="Q88" i="3"/>
  <c r="S88" i="3" s="1"/>
  <c r="P88" i="3"/>
  <c r="Q87" i="3"/>
  <c r="S87" i="3" s="1"/>
  <c r="P87" i="3"/>
  <c r="Q86" i="3"/>
  <c r="S86" i="3" s="1"/>
  <c r="P86" i="3"/>
  <c r="S85" i="3"/>
  <c r="Q85" i="3"/>
  <c r="Q84" i="3"/>
  <c r="S84" i="3" s="1"/>
  <c r="P84" i="3"/>
  <c r="Q83" i="3"/>
  <c r="S83" i="3" s="1"/>
  <c r="P83" i="3"/>
  <c r="S82" i="3"/>
  <c r="Q82" i="3"/>
  <c r="P82" i="3"/>
  <c r="Q81" i="3"/>
  <c r="S81" i="3" s="1"/>
  <c r="P81" i="3"/>
  <c r="Q80" i="3"/>
  <c r="S80" i="3" s="1"/>
  <c r="P80" i="3"/>
  <c r="Q78" i="3"/>
  <c r="S78" i="3" s="1"/>
  <c r="P78" i="3"/>
  <c r="S77" i="3"/>
  <c r="R77" i="3"/>
  <c r="Q77" i="3"/>
  <c r="P77" i="3"/>
  <c r="S76" i="3"/>
  <c r="Q76" i="3"/>
  <c r="P76" i="3"/>
  <c r="S75" i="3"/>
  <c r="Q75" i="3"/>
  <c r="P75" i="3"/>
  <c r="Q74" i="3"/>
  <c r="S74" i="3" s="1"/>
  <c r="P74" i="3"/>
  <c r="Q73" i="3"/>
  <c r="S73" i="3" s="1"/>
  <c r="P73" i="3"/>
  <c r="S72" i="3"/>
  <c r="Q72" i="3"/>
  <c r="N72" i="3"/>
  <c r="P72" i="3" s="1"/>
  <c r="S70" i="3"/>
  <c r="Q70" i="3"/>
  <c r="P70" i="3"/>
  <c r="Q68" i="3"/>
  <c r="S68" i="3" s="1"/>
  <c r="P68" i="3"/>
  <c r="Q67" i="3"/>
  <c r="S67" i="3" s="1"/>
  <c r="P67" i="3"/>
  <c r="Q66" i="3"/>
  <c r="S66" i="3" s="1"/>
  <c r="P66" i="3"/>
  <c r="S65" i="3"/>
  <c r="Q65" i="3"/>
  <c r="P65" i="3"/>
  <c r="Q64" i="3"/>
  <c r="S64" i="3" s="1"/>
  <c r="P64" i="3"/>
  <c r="Q63" i="3"/>
  <c r="S63" i="3" s="1"/>
  <c r="P63" i="3"/>
  <c r="Q62" i="3"/>
  <c r="S62" i="3" s="1"/>
  <c r="P62" i="3"/>
  <c r="S61" i="3"/>
  <c r="Q61" i="3"/>
  <c r="P61" i="3"/>
  <c r="Q60" i="3"/>
  <c r="S60" i="3" s="1"/>
  <c r="P60" i="3"/>
  <c r="Q59" i="3"/>
  <c r="S59" i="3" s="1"/>
  <c r="P59" i="3"/>
  <c r="R58" i="3"/>
  <c r="Q58" i="3"/>
  <c r="S58" i="3" s="1"/>
  <c r="P58" i="3"/>
  <c r="Q57" i="3"/>
  <c r="S57" i="3" s="1"/>
  <c r="P57" i="3"/>
  <c r="S56" i="3"/>
  <c r="Q56" i="3"/>
  <c r="P56" i="3"/>
  <c r="Q55" i="3"/>
  <c r="S55" i="3" s="1"/>
  <c r="P55" i="3"/>
  <c r="Q54" i="3"/>
  <c r="S54" i="3" s="1"/>
  <c r="P54" i="3"/>
  <c r="R53" i="3"/>
  <c r="Q53" i="3"/>
  <c r="S53" i="3" s="1"/>
  <c r="P53" i="3"/>
  <c r="Q52" i="3"/>
  <c r="S52" i="3" s="1"/>
  <c r="O52" i="3"/>
  <c r="P52" i="3" s="1"/>
  <c r="N52" i="3"/>
  <c r="Q51" i="3"/>
  <c r="S51" i="3" s="1"/>
  <c r="P51" i="3"/>
  <c r="Q50" i="3"/>
  <c r="S50" i="3" s="1"/>
  <c r="P50" i="3"/>
  <c r="S49" i="3"/>
  <c r="Q49" i="3"/>
  <c r="P49" i="3"/>
  <c r="Q48" i="3"/>
  <c r="S48" i="3" s="1"/>
  <c r="P48" i="3"/>
  <c r="Q47" i="3"/>
  <c r="S47" i="3" s="1"/>
  <c r="P47" i="3"/>
  <c r="Q46" i="3"/>
  <c r="S46" i="3" s="1"/>
  <c r="P46" i="3"/>
  <c r="S45" i="3"/>
  <c r="Q45" i="3"/>
  <c r="P45" i="3"/>
  <c r="Q44" i="3"/>
  <c r="S44" i="3" s="1"/>
  <c r="P44" i="3"/>
  <c r="Q43" i="3"/>
  <c r="S43" i="3" s="1"/>
  <c r="P43" i="3"/>
  <c r="Q42" i="3"/>
  <c r="S42" i="3" s="1"/>
  <c r="P42" i="3"/>
  <c r="S41" i="3"/>
  <c r="Q41" i="3"/>
  <c r="P41" i="3"/>
  <c r="Q40" i="3"/>
  <c r="S40" i="3" s="1"/>
  <c r="P40" i="3"/>
  <c r="Q39" i="3"/>
  <c r="S39" i="3" s="1"/>
  <c r="P39" i="3"/>
  <c r="Q37" i="3"/>
  <c r="S37" i="3" s="1"/>
  <c r="P37" i="3"/>
  <c r="S36" i="3"/>
  <c r="Q36" i="3"/>
  <c r="P36" i="3"/>
  <c r="Q35" i="3"/>
  <c r="S35" i="3" s="1"/>
  <c r="P35" i="3"/>
  <c r="Q34" i="3"/>
  <c r="S34" i="3" s="1"/>
  <c r="P34" i="3"/>
  <c r="Q33" i="3"/>
  <c r="S33" i="3" s="1"/>
  <c r="P33" i="3"/>
  <c r="S32" i="3"/>
  <c r="Q32" i="3"/>
  <c r="P32" i="3"/>
  <c r="R31" i="3"/>
  <c r="S31" i="3" s="1"/>
  <c r="Q31" i="3"/>
  <c r="P31" i="3"/>
  <c r="R30" i="3"/>
  <c r="S30" i="3" s="1"/>
  <c r="P30" i="3"/>
  <c r="Q29" i="3"/>
  <c r="S29" i="3" s="1"/>
  <c r="P29" i="3"/>
  <c r="Q26" i="3"/>
  <c r="S26" i="3" s="1"/>
  <c r="P26" i="3"/>
  <c r="S25" i="3"/>
  <c r="Q25" i="3"/>
  <c r="P25" i="3"/>
  <c r="Q23" i="3"/>
  <c r="S23" i="3" s="1"/>
  <c r="P23" i="3"/>
  <c r="Q21" i="3"/>
  <c r="S21" i="3" s="1"/>
  <c r="P21" i="3"/>
  <c r="Q19" i="3"/>
  <c r="S19" i="3" s="1"/>
  <c r="P19" i="3"/>
  <c r="S18" i="3"/>
  <c r="Q18" i="3"/>
  <c r="P18" i="3"/>
  <c r="Q17" i="3"/>
  <c r="S17" i="3" s="1"/>
  <c r="P17" i="3"/>
  <c r="Q15" i="3"/>
  <c r="S15" i="3" s="1"/>
  <c r="P15" i="3"/>
  <c r="N15" i="3"/>
  <c r="Q13" i="3"/>
  <c r="S13" i="3" s="1"/>
  <c r="P13" i="3"/>
  <c r="Q8" i="3"/>
  <c r="S8" i="3" s="1"/>
  <c r="P8" i="3"/>
  <c r="S7" i="3"/>
  <c r="Q7" i="3"/>
  <c r="P7" i="3"/>
  <c r="R6" i="3"/>
  <c r="S6" i="3" s="1"/>
  <c r="Q6" i="3"/>
  <c r="P6" i="3"/>
  <c r="Q5" i="3"/>
  <c r="S5" i="3" s="1"/>
  <c r="N5" i="3"/>
  <c r="P5" i="3" s="1"/>
  <c r="Q4" i="3"/>
  <c r="S4" i="3" s="1"/>
  <c r="N4" i="3"/>
  <c r="P4" i="3" s="1"/>
  <c r="S3" i="3"/>
  <c r="Q3" i="3"/>
  <c r="N3" i="3"/>
  <c r="P3" i="3" s="1"/>
  <c r="P3" i="2" l="1"/>
  <c r="R3" i="2" s="1"/>
  <c r="M3" i="2"/>
  <c r="O3" i="2" s="1"/>
</calcChain>
</file>

<file path=xl/sharedStrings.xml><?xml version="1.0" encoding="utf-8"?>
<sst xmlns="http://schemas.openxmlformats.org/spreadsheetml/2006/main" count="2352" uniqueCount="1077">
  <si>
    <t>A-81</t>
  </si>
  <si>
    <t>B-76</t>
  </si>
  <si>
    <t>vizkIr</t>
  </si>
  <si>
    <r>
      <rPr>
        <b/>
        <sz val="12"/>
        <color theme="1"/>
        <rFont val="Kruti Dev 010"/>
      </rPr>
      <t xml:space="preserve">izek.k i= </t>
    </r>
    <r>
      <rPr>
        <b/>
        <sz val="12"/>
        <color theme="1"/>
        <rFont val="Times New Roman"/>
        <family val="1"/>
      </rPr>
      <t>150000</t>
    </r>
  </si>
  <si>
    <t xml:space="preserve"> 'kiFk i= </t>
  </si>
  <si>
    <t>dz</t>
  </si>
  <si>
    <t>ftyk</t>
  </si>
  <si>
    <t xml:space="preserve"> 'kk[kk</t>
  </si>
  <si>
    <t>osvjgkml</t>
  </si>
  <si>
    <t>;kstuk</t>
  </si>
  <si>
    <t>;kstuk nj jkf'k</t>
  </si>
  <si>
    <t>okLrfod HkaMkj.k {kerk</t>
  </si>
  <si>
    <t>vuqcaf/kr HkaMkj.k {kerk</t>
  </si>
  <si>
    <t>vuqca/k fnukad</t>
  </si>
  <si>
    <t>xksnke dzekad</t>
  </si>
  <si>
    <t>WDRA Licences</t>
  </si>
  <si>
    <r>
      <t xml:space="preserve">Bank Solvancy </t>
    </r>
    <r>
      <rPr>
        <b/>
        <sz val="12"/>
        <color theme="1"/>
        <rFont val="Kruti Dev 010"/>
      </rPr>
      <t>dk izek.k i= dh jkf'k</t>
    </r>
  </si>
  <si>
    <r>
      <t xml:space="preserve">Bank Solvancy </t>
    </r>
    <r>
      <rPr>
        <b/>
        <sz val="12"/>
        <color theme="1"/>
        <rFont val="Kruti Dev 010"/>
      </rPr>
      <t>ds 'kiFk i= dh jkf'k</t>
    </r>
  </si>
  <si>
    <t>Bank Solvancy Diduction By Bill</t>
  </si>
  <si>
    <t xml:space="preserve">Balance Amount Bank Solvancy </t>
  </si>
  <si>
    <t>TOTAL EMI</t>
  </si>
  <si>
    <t xml:space="preserve">EMI Diduction  By Bill </t>
  </si>
  <si>
    <t>Balance Amount EMI</t>
  </si>
  <si>
    <t>Pan Card Holder</t>
  </si>
  <si>
    <t>Pan Card No</t>
  </si>
  <si>
    <t>Burhanpur</t>
  </si>
  <si>
    <t xml:space="preserve">KAMLADEVI WAREHOUSE PART 01 </t>
  </si>
  <si>
    <t>B</t>
  </si>
  <si>
    <t>Manohar kamrani</t>
  </si>
  <si>
    <t>BPZPK1574E</t>
  </si>
  <si>
    <t>A-79</t>
  </si>
  <si>
    <t>B-74</t>
  </si>
  <si>
    <t>A-54</t>
  </si>
  <si>
    <t>B-49</t>
  </si>
  <si>
    <t>okLrfod HkaMkj.k</t>
  </si>
  <si>
    <t>Offered Capacity (in M.T)</t>
  </si>
  <si>
    <t>Offered Date</t>
  </si>
  <si>
    <t>Gain Chaque No</t>
  </si>
  <si>
    <t>Gain Chaque Amount</t>
  </si>
  <si>
    <t>Name of Bank</t>
  </si>
  <si>
    <t>BANK ACOUNT No.</t>
  </si>
  <si>
    <t>BANK ACOUNT Holder</t>
  </si>
  <si>
    <t>IFSC Code</t>
  </si>
  <si>
    <t>tekdrkZ</t>
  </si>
  <si>
    <t>ftUl</t>
  </si>
  <si>
    <t>KAMLADEVI WAREHOUSE PART 01</t>
  </si>
  <si>
    <r>
      <t xml:space="preserve">4125          </t>
    </r>
    <r>
      <rPr>
        <b/>
        <sz val="11"/>
        <color theme="0"/>
        <rFont val="Calibri"/>
        <family val="2"/>
        <scheme val="minor"/>
      </rPr>
      <t>(offer 23-24)</t>
    </r>
  </si>
  <si>
    <t>000084</t>
  </si>
  <si>
    <t>Bank of Baroda</t>
  </si>
  <si>
    <t>61450200000002</t>
  </si>
  <si>
    <t>KAMLADEVI WAREHOUSE</t>
  </si>
  <si>
    <t>BARB0MOHAMP</t>
  </si>
  <si>
    <t>BHAVNA KAMRANI</t>
  </si>
  <si>
    <t>BUEPK3239G</t>
  </si>
  <si>
    <t>VIJAY WAREHOUSE</t>
  </si>
  <si>
    <t>izkIr</t>
  </si>
  <si>
    <t>000175</t>
  </si>
  <si>
    <t>HDFC BANK</t>
  </si>
  <si>
    <t>50100399796634</t>
  </si>
  <si>
    <t>Narendramal Lodha</t>
  </si>
  <si>
    <t>HDFC0001769</t>
  </si>
  <si>
    <t>AAMPL8709K</t>
  </si>
  <si>
    <t>MAA iCCHADEVI wAREHOUSING AND ENTERPRISES</t>
  </si>
  <si>
    <t>000007</t>
  </si>
  <si>
    <t>70150100019025</t>
  </si>
  <si>
    <t>Layshree Thakur</t>
  </si>
  <si>
    <t>BARB0DBBURH</t>
  </si>
  <si>
    <t>BJHPT2715C</t>
  </si>
  <si>
    <t>RENUKA DEVI SUPPLY CHAIN AND STORAGE</t>
  </si>
  <si>
    <t>A</t>
  </si>
  <si>
    <r>
      <t xml:space="preserve">izek.k i= </t>
    </r>
    <r>
      <rPr>
        <b/>
        <sz val="12"/>
        <color theme="1"/>
        <rFont val="Times New Roman"/>
        <family val="1"/>
      </rPr>
      <t>450000</t>
    </r>
  </si>
  <si>
    <t>000039</t>
  </si>
  <si>
    <t>07880200001705</t>
  </si>
  <si>
    <t>Renuka Devi Supply Chain &amp; Storage</t>
  </si>
  <si>
    <t>BARB0MHOWXX</t>
  </si>
  <si>
    <t>Gayatri Tiwari</t>
  </si>
  <si>
    <t>AASPT7353H</t>
  </si>
  <si>
    <t>Dhar</t>
  </si>
  <si>
    <t>Badnawar</t>
  </si>
  <si>
    <t>PATIDAR WAREHOUSE</t>
  </si>
  <si>
    <t xml:space="preserve"> 'kiFk i=</t>
  </si>
  <si>
    <t>664831</t>
  </si>
  <si>
    <t>NIL</t>
  </si>
  <si>
    <t>Indian Overseas Bank</t>
  </si>
  <si>
    <t>263902000000035</t>
  </si>
  <si>
    <t>IOBA0002639</t>
  </si>
  <si>
    <t>Patidar Warehouse</t>
  </si>
  <si>
    <t>AAZFP6913C</t>
  </si>
  <si>
    <t>Annapoorna Worldwide Agro &amp; Logistic Park LLP</t>
  </si>
  <si>
    <t>272195</t>
  </si>
  <si>
    <t>Canara Bank</t>
  </si>
  <si>
    <t>120001560530</t>
  </si>
  <si>
    <t>ANNAPOORNA WORLDWIDE AGRO AND LOGISTIC PARK LLP</t>
  </si>
  <si>
    <t>CNRB0017800</t>
  </si>
  <si>
    <t>ABYFA7563K</t>
  </si>
  <si>
    <t>Om shree sai warehouse borali  (PMS)</t>
  </si>
  <si>
    <t>PMS</t>
  </si>
  <si>
    <t>38940200000051</t>
  </si>
  <si>
    <t>OM SHREE SAI WAREHOUSE</t>
  </si>
  <si>
    <t>BARB0BADNAW</t>
  </si>
  <si>
    <t>SOBHADEVI</t>
  </si>
  <si>
    <t>EKHPS1535K</t>
  </si>
  <si>
    <t>DEV WAREHOUSE  (PMS)</t>
  </si>
  <si>
    <t>981520110000114</t>
  </si>
  <si>
    <t>DEV WAREHOUSE</t>
  </si>
  <si>
    <t>BKID0009815</t>
  </si>
  <si>
    <t>Bank Of India</t>
  </si>
  <si>
    <t>DEVENDRA KUNWAR RATHOD</t>
  </si>
  <si>
    <t>ETJPR0174N</t>
  </si>
  <si>
    <t>NAHAR WAREHOUSE  (PMS)</t>
  </si>
  <si>
    <t>87920200000075</t>
  </si>
  <si>
    <t>MANISHA NAHAR</t>
  </si>
  <si>
    <t>ICIC0006572</t>
  </si>
  <si>
    <t>MANISHA LOKESH NAHAR</t>
  </si>
  <si>
    <t>ACPPN7863H</t>
  </si>
  <si>
    <t>Jai shree mahakal warehouse  (PMS)</t>
  </si>
  <si>
    <t>50200015681150</t>
  </si>
  <si>
    <t>ANAND PATIDAR/ SHANTILAL</t>
  </si>
  <si>
    <t>HDFC0003013</t>
  </si>
  <si>
    <t>Aanand Patidar</t>
  </si>
  <si>
    <t>BHJPP1114M</t>
  </si>
  <si>
    <t>SHRI VASUNDHARA WAREHOUSE</t>
  </si>
  <si>
    <t>788556</t>
  </si>
  <si>
    <t>State Bank Of India</t>
  </si>
  <si>
    <t>40783879603</t>
  </si>
  <si>
    <t>SHRI VASUNDHRA WAREHOUSE</t>
  </si>
  <si>
    <t>SBIN0030015</t>
  </si>
  <si>
    <t>KRUTIKA MOHIT SOMANI</t>
  </si>
  <si>
    <t>AXFPM7758M</t>
  </si>
  <si>
    <t>NAGDA WAREHOUSE  (PMS)</t>
  </si>
  <si>
    <t>657205113649</t>
  </si>
  <si>
    <t>R.S.V REAL ESTATE PRIVATE LIMITED</t>
  </si>
  <si>
    <t>ICICI Bank</t>
  </si>
  <si>
    <t>AADCM6479K</t>
  </si>
  <si>
    <t>tirupati b  (PMS)</t>
  </si>
  <si>
    <t>000178</t>
  </si>
  <si>
    <t>50100021598465</t>
  </si>
  <si>
    <t>RAJESH HOTI</t>
  </si>
  <si>
    <t>AZEPR8212J</t>
  </si>
  <si>
    <t>shri balaji warehousing  (PMS)</t>
  </si>
  <si>
    <t>428500100000196</t>
  </si>
  <si>
    <t>SHREE BALAJI WAREHOUSING</t>
  </si>
  <si>
    <t>SRCB0000428</t>
  </si>
  <si>
    <t>Saraswat Bank</t>
  </si>
  <si>
    <t>ACGFS0009R</t>
  </si>
  <si>
    <t>Dhamnod</t>
  </si>
  <si>
    <t>Anil patidar warehouse</t>
  </si>
  <si>
    <t>0</t>
  </si>
  <si>
    <t>50200051617451</t>
  </si>
  <si>
    <t>Anil Babulal Patidar</t>
  </si>
  <si>
    <t>HDFC0003886</t>
  </si>
  <si>
    <t xml:space="preserve">ANIL BABULAL PATIDAR </t>
  </si>
  <si>
    <t>AOWPP9874K</t>
  </si>
  <si>
    <t>SHARMA WAREHOUSE</t>
  </si>
  <si>
    <t>060215</t>
  </si>
  <si>
    <t>980610110000583</t>
  </si>
  <si>
    <t>Ashok Vasudev Sharma</t>
  </si>
  <si>
    <t>BKID0009806</t>
  </si>
  <si>
    <t>Ashok Sharma</t>
  </si>
  <si>
    <t>LDGPS6808A</t>
  </si>
  <si>
    <t>RANGNATH WAREHOUSE</t>
  </si>
  <si>
    <r>
      <t xml:space="preserve">izek.k i= </t>
    </r>
    <r>
      <rPr>
        <b/>
        <sz val="12"/>
        <color theme="1"/>
        <rFont val="Times New Roman"/>
        <family val="1"/>
      </rPr>
      <t>500000</t>
    </r>
  </si>
  <si>
    <t>871437</t>
  </si>
  <si>
    <t>40858798594</t>
  </si>
  <si>
    <t>Rangnath Warehouse</t>
  </si>
  <si>
    <t>SBIN0030361</t>
  </si>
  <si>
    <t>Rakhi Lahoti</t>
  </si>
  <si>
    <t>AMTPL7863M</t>
  </si>
  <si>
    <r>
      <t xml:space="preserve">ARYA WAREHOUSE </t>
    </r>
    <r>
      <rPr>
        <b/>
        <sz val="14"/>
        <color rgb="FFFF0000"/>
        <rFont val="Calibri"/>
        <family val="2"/>
        <scheme val="minor"/>
      </rPr>
      <t xml:space="preserve"> (PMS)</t>
    </r>
  </si>
  <si>
    <t>004329</t>
  </si>
  <si>
    <t>Union Bank of India</t>
  </si>
  <si>
    <t>695501010050094</t>
  </si>
  <si>
    <t>Arya Ware House</t>
  </si>
  <si>
    <t>UBIN0569551</t>
  </si>
  <si>
    <t>Mukesh Goutam</t>
  </si>
  <si>
    <t>AMSPG1842L</t>
  </si>
  <si>
    <t>AGRAWAL WAREHOUSE</t>
  </si>
  <si>
    <r>
      <t xml:space="preserve">izek.k i= </t>
    </r>
    <r>
      <rPr>
        <b/>
        <sz val="12"/>
        <color theme="1"/>
        <rFont val="Times New Roman"/>
        <family val="1"/>
      </rPr>
      <t>280000</t>
    </r>
  </si>
  <si>
    <t>254281</t>
  </si>
  <si>
    <t>42398347414</t>
  </si>
  <si>
    <t>AGRAWAL WARE HOUSE</t>
  </si>
  <si>
    <t>SBIN0061731</t>
  </si>
  <si>
    <t>Sarita Agrawal</t>
  </si>
  <si>
    <t>ATOPA0881G</t>
  </si>
  <si>
    <r>
      <t>MAA AMBIKA WAREHOUSE</t>
    </r>
    <r>
      <rPr>
        <b/>
        <sz val="14"/>
        <color rgb="FFFF0000"/>
        <rFont val="Calibri"/>
        <family val="2"/>
        <scheme val="minor"/>
      </rPr>
      <t xml:space="preserve"> (PMS)</t>
    </r>
  </si>
  <si>
    <t>098452</t>
  </si>
  <si>
    <t>881320110000336</t>
  </si>
  <si>
    <t>Maa Ambika Warehouse</t>
  </si>
  <si>
    <t>BKID0008813</t>
  </si>
  <si>
    <t>Divya Patidar</t>
  </si>
  <si>
    <t>DTCPD1583B</t>
  </si>
  <si>
    <t>Dadashree Warehouse</t>
  </si>
  <si>
    <t>041201</t>
  </si>
  <si>
    <t>981220110000143</t>
  </si>
  <si>
    <t>Dada Shree Ware House</t>
  </si>
  <si>
    <t>BKID0009812</t>
  </si>
  <si>
    <t>Reena Bai Solanki</t>
  </si>
  <si>
    <t>MXPPS9891F</t>
  </si>
  <si>
    <r>
      <t>SHIVDARSHAN WAREHOUSE</t>
    </r>
    <r>
      <rPr>
        <b/>
        <sz val="14"/>
        <color rgb="FFFF0000"/>
        <rFont val="Calibri"/>
        <family val="2"/>
        <scheme val="minor"/>
      </rPr>
      <t xml:space="preserve"> (PMS)</t>
    </r>
  </si>
  <si>
    <t>981010110010801</t>
  </si>
  <si>
    <t>Tamubai Kailashchandr</t>
  </si>
  <si>
    <t>BKID0009810</t>
  </si>
  <si>
    <t>Tamubai</t>
  </si>
  <si>
    <t>BZXPT2565A</t>
  </si>
  <si>
    <t>SHREE RAMA KANHAIYA WAREHOUSE</t>
  </si>
  <si>
    <r>
      <t xml:space="preserve">izek.k i= </t>
    </r>
    <r>
      <rPr>
        <b/>
        <sz val="12"/>
        <color theme="1"/>
        <rFont val="Times New Roman"/>
        <family val="1"/>
      </rPr>
      <t>180250</t>
    </r>
  </si>
  <si>
    <t>116615</t>
  </si>
  <si>
    <t>40644122236</t>
  </si>
  <si>
    <t>Shree Ramakanhaiya Warehouse</t>
  </si>
  <si>
    <t>SBIN0003417</t>
  </si>
  <si>
    <t>Krati Sharma</t>
  </si>
  <si>
    <t>BYRPS7169E</t>
  </si>
  <si>
    <t>RAWALA WARE HOUSE KESUR</t>
  </si>
  <si>
    <r>
      <t xml:space="preserve">izek.k i= </t>
    </r>
    <r>
      <rPr>
        <b/>
        <sz val="12"/>
        <color theme="1"/>
        <rFont val="Times New Roman"/>
        <family val="1"/>
      </rPr>
      <t>67000</t>
    </r>
  </si>
  <si>
    <t>119281</t>
  </si>
  <si>
    <t>980610110003971</t>
  </si>
  <si>
    <t>Suredrakuver Ranjet Singh</t>
  </si>
  <si>
    <t>Surendra Kunwar</t>
  </si>
  <si>
    <t>CGXPS5105H</t>
  </si>
  <si>
    <r>
      <t xml:space="preserve">KALMODIYA WAREHOUSE </t>
    </r>
    <r>
      <rPr>
        <b/>
        <sz val="14"/>
        <color rgb="FFFF0000"/>
        <rFont val="Calibri"/>
        <family val="2"/>
        <scheme val="minor"/>
      </rPr>
      <t>(PMS)</t>
    </r>
  </si>
  <si>
    <t>133815</t>
  </si>
  <si>
    <t>882110100015004</t>
  </si>
  <si>
    <t>Krishna W/O Ambaram Malviya</t>
  </si>
  <si>
    <t>BKID0008821</t>
  </si>
  <si>
    <t>Krishna Malviya</t>
  </si>
  <si>
    <t>ASKPM2798M</t>
  </si>
  <si>
    <r>
      <t>SHRI NATH JI WAREHOUSE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(PMS)</t>
    </r>
  </si>
  <si>
    <r>
      <t xml:space="preserve">izek.k i= </t>
    </r>
    <r>
      <rPr>
        <b/>
        <sz val="12"/>
        <color theme="1"/>
        <rFont val="Times New Roman"/>
        <family val="1"/>
      </rPr>
      <t>281050</t>
    </r>
  </si>
  <si>
    <t>092504</t>
  </si>
  <si>
    <t>981020110000329</t>
  </si>
  <si>
    <t>Shrei Nathji Ware House</t>
  </si>
  <si>
    <t>SMT Vina Khandelwal</t>
  </si>
  <si>
    <t>ASJPK9382L</t>
  </si>
  <si>
    <t>SHRI KUNJ WAREHOUSE</t>
  </si>
  <si>
    <t>000022</t>
  </si>
  <si>
    <t>Bank Of  Baroda</t>
  </si>
  <si>
    <t>06060200001666</t>
  </si>
  <si>
    <t>Shri Kunj Warehouse</t>
  </si>
  <si>
    <t>BARB0INDORE</t>
  </si>
  <si>
    <t>Leela Solanki</t>
  </si>
  <si>
    <t>DCIPS3214M</t>
  </si>
  <si>
    <t>Manawar</t>
  </si>
  <si>
    <t>Parshnath Corporation</t>
  </si>
  <si>
    <t>44A/44B</t>
  </si>
  <si>
    <r>
      <rPr>
        <b/>
        <sz val="12"/>
        <color theme="1"/>
        <rFont val="Kruti Dev 010"/>
      </rPr>
      <t xml:space="preserve">izek.k i= </t>
    </r>
    <r>
      <rPr>
        <b/>
        <sz val="12"/>
        <color theme="1"/>
        <rFont val="Times New Roman"/>
        <family val="1"/>
      </rPr>
      <t>300000</t>
    </r>
  </si>
  <si>
    <t>000109</t>
  </si>
  <si>
    <t>44670200000339</t>
  </si>
  <si>
    <t>Rachna Rawka</t>
  </si>
  <si>
    <t>BARBOMANAWA</t>
  </si>
  <si>
    <t>AHMPR8420J</t>
  </si>
  <si>
    <t>Sardarpur</t>
  </si>
  <si>
    <t>M &amp; P Warehousing  PVT LTD</t>
  </si>
  <si>
    <r>
      <rPr>
        <b/>
        <sz val="12"/>
        <color theme="1"/>
        <rFont val="Kruti Dev 010"/>
      </rPr>
      <t xml:space="preserve">izek.k i= </t>
    </r>
    <r>
      <rPr>
        <b/>
        <sz val="12"/>
        <color theme="1"/>
        <rFont val="Times New Roman"/>
        <family val="1"/>
      </rPr>
      <t>10000000</t>
    </r>
  </si>
  <si>
    <t>693047</t>
  </si>
  <si>
    <t>2653214000014</t>
  </si>
  <si>
    <t>M&amp;P WAREHOUSING PRIVATE LIMITED</t>
  </si>
  <si>
    <t>CNRB0002653</t>
  </si>
  <si>
    <t>AAMCM7548N</t>
  </si>
  <si>
    <t xml:space="preserve">GEETA SHRI WARE HOUSE  </t>
  </si>
  <si>
    <r>
      <rPr>
        <b/>
        <sz val="12"/>
        <color theme="1"/>
        <rFont val="Kruti Dev 010"/>
      </rPr>
      <t xml:space="preserve">izek.k i= </t>
    </r>
    <r>
      <rPr>
        <b/>
        <sz val="12"/>
        <color theme="1"/>
        <rFont val="Times New Roman"/>
        <family val="1"/>
      </rPr>
      <t>279050</t>
    </r>
  </si>
  <si>
    <t>00</t>
  </si>
  <si>
    <t>REKHA DHAKAD</t>
  </si>
  <si>
    <t>FTDPD2713N</t>
  </si>
  <si>
    <t>Indore</t>
  </si>
  <si>
    <t>Depalpur</t>
  </si>
  <si>
    <t>saniro enterprises warehouse</t>
  </si>
  <si>
    <t>izek.k i= 280000</t>
  </si>
  <si>
    <t>412776</t>
  </si>
  <si>
    <t>41257295382</t>
  </si>
  <si>
    <t>SANIRO ENTERPRISES</t>
  </si>
  <si>
    <t>SBIN0030024</t>
  </si>
  <si>
    <t>AEUFS5231D</t>
  </si>
  <si>
    <t>1943.95 MT</t>
  </si>
  <si>
    <t>vaibhav warehouse</t>
  </si>
  <si>
    <t>izek.k i= 200000</t>
  </si>
  <si>
    <t>473646</t>
  </si>
  <si>
    <t>3306201000522</t>
  </si>
  <si>
    <t>VAIBHAV WAREHOUE</t>
  </si>
  <si>
    <t>CNRB0002074</t>
  </si>
  <si>
    <t>ANITA MEHTA</t>
  </si>
  <si>
    <t>AGPPM4660H</t>
  </si>
  <si>
    <t>Vaibhav warehouse-2</t>
  </si>
  <si>
    <t>34A</t>
  </si>
  <si>
    <t>473645</t>
  </si>
  <si>
    <t>Vaibhav warehouse - 3</t>
  </si>
  <si>
    <t>473647</t>
  </si>
  <si>
    <t>1408.35 MT</t>
  </si>
  <si>
    <t>Shri balaji logistics warehouse</t>
  </si>
  <si>
    <r>
      <t xml:space="preserve">izek.k i= </t>
    </r>
    <r>
      <rPr>
        <b/>
        <sz val="11"/>
        <color theme="1"/>
        <rFont val="Times New Roman"/>
        <family val="1"/>
      </rPr>
      <t>60000</t>
    </r>
  </si>
  <si>
    <t>000004</t>
  </si>
  <si>
    <t xml:space="preserve">Uco Bank </t>
  </si>
  <si>
    <t>00760210004852</t>
  </si>
  <si>
    <t>SHRI BALAJI LOGISTICS</t>
  </si>
  <si>
    <t>UCBA0000076</t>
  </si>
  <si>
    <t>ROHIT PATEL</t>
  </si>
  <si>
    <t>BWDPP0159D</t>
  </si>
  <si>
    <r>
      <t>Jai shree mahakal warehouse</t>
    </r>
    <r>
      <rPr>
        <b/>
        <sz val="12"/>
        <color rgb="FFFF0000"/>
        <rFont val="Calibri"/>
        <family val="2"/>
        <scheme val="minor"/>
      </rPr>
      <t xml:space="preserve">  (PMS)</t>
    </r>
  </si>
  <si>
    <t>215078</t>
  </si>
  <si>
    <t>883210110017160</t>
  </si>
  <si>
    <t>KIRTI  PANDAY</t>
  </si>
  <si>
    <t>BKID0008832</t>
  </si>
  <si>
    <t>FEZPK2366M</t>
  </si>
  <si>
    <t>pradhan warehouse shahpura</t>
  </si>
  <si>
    <r>
      <t xml:space="preserve">izek.k i= </t>
    </r>
    <r>
      <rPr>
        <b/>
        <sz val="12"/>
        <color theme="1"/>
        <rFont val="Times New Roman"/>
        <family val="1"/>
      </rPr>
      <t>300000</t>
    </r>
  </si>
  <si>
    <t>030051</t>
  </si>
  <si>
    <t>882820110000124</t>
  </si>
  <si>
    <t>PRADHAN WAREHOUSE</t>
  </si>
  <si>
    <t>BKID0008828</t>
  </si>
  <si>
    <t>PRAMEELA JAISWAL</t>
  </si>
  <si>
    <t>AZGPJ7545L</t>
  </si>
  <si>
    <t>SHREE NATH WAREHOUSE  BANEDIYA</t>
  </si>
  <si>
    <r>
      <t xml:space="preserve">izek.k i= </t>
    </r>
    <r>
      <rPr>
        <b/>
        <sz val="11"/>
        <color theme="1"/>
        <rFont val="Times New Roman"/>
        <family val="1"/>
      </rPr>
      <t>220000</t>
    </r>
  </si>
  <si>
    <t>526150</t>
  </si>
  <si>
    <t>38125577361</t>
  </si>
  <si>
    <t>SURESH SURESH</t>
  </si>
  <si>
    <t>SBIN0061122</t>
  </si>
  <si>
    <t>SURESH</t>
  </si>
  <si>
    <t>DHUPS9451K</t>
  </si>
  <si>
    <t>KUBER WAREHOUSE</t>
  </si>
  <si>
    <r>
      <t xml:space="preserve">izek.k i= </t>
    </r>
    <r>
      <rPr>
        <b/>
        <sz val="11"/>
        <color theme="1"/>
        <rFont val="Times New Roman"/>
        <family val="1"/>
      </rPr>
      <t>200000</t>
    </r>
  </si>
  <si>
    <t>079511</t>
  </si>
  <si>
    <t>883820110000317</t>
  </si>
  <si>
    <t>BKID008838</t>
  </si>
  <si>
    <t>HARPREET</t>
  </si>
  <si>
    <t>ANBPH1805Q</t>
  </si>
  <si>
    <t>R.S WAREHOUSE</t>
  </si>
  <si>
    <r>
      <t xml:space="preserve">izek.k i= </t>
    </r>
    <r>
      <rPr>
        <b/>
        <sz val="11"/>
        <color theme="1"/>
        <rFont val="Times New Roman"/>
        <family val="1"/>
      </rPr>
      <t>300000</t>
    </r>
  </si>
  <si>
    <t>011269</t>
  </si>
  <si>
    <t>885520110000074</t>
  </si>
  <si>
    <t>R.S.WAREHOUSE</t>
  </si>
  <si>
    <t>BKID0008855</t>
  </si>
  <si>
    <t>RANJANA JAIN</t>
  </si>
  <si>
    <t>BBZPJ4423M</t>
  </si>
  <si>
    <t>JYOTI WAREHOUSE</t>
  </si>
  <si>
    <r>
      <t xml:space="preserve">izek.k i= </t>
    </r>
    <r>
      <rPr>
        <b/>
        <sz val="11"/>
        <color theme="1"/>
        <rFont val="Times New Roman"/>
        <family val="1"/>
      </rPr>
      <t>175000</t>
    </r>
  </si>
  <si>
    <t>078021</t>
  </si>
  <si>
    <t>883820110000160</t>
  </si>
  <si>
    <t>BKID0008838</t>
  </si>
  <si>
    <t>NIHAL SINGH</t>
  </si>
  <si>
    <t>FJWPS7701C</t>
  </si>
  <si>
    <t>shri shanti warehouse</t>
  </si>
  <si>
    <r>
      <t xml:space="preserve">izek.k i= </t>
    </r>
    <r>
      <rPr>
        <b/>
        <sz val="11"/>
        <color theme="1"/>
        <rFont val="Times New Roman"/>
        <family val="1"/>
      </rPr>
      <t>21291000</t>
    </r>
  </si>
  <si>
    <t>124269</t>
  </si>
  <si>
    <t>883620110000898</t>
  </si>
  <si>
    <t>SHRI SHANTI WAREHOUSE</t>
  </si>
  <si>
    <t>BKID0008836</t>
  </si>
  <si>
    <t>LAKHANLAL CHOUDHARY</t>
  </si>
  <si>
    <t>AIEPL6825G</t>
  </si>
  <si>
    <t>KESHAV MADHAV WAREHOUSE</t>
  </si>
  <si>
    <r>
      <t xml:space="preserve">izek.k i= </t>
    </r>
    <r>
      <rPr>
        <b/>
        <sz val="11"/>
        <color theme="1"/>
        <rFont val="Times New Roman"/>
        <family val="1"/>
      </rPr>
      <t>302500</t>
    </r>
  </si>
  <si>
    <t>023355</t>
  </si>
  <si>
    <t>882820110000119</t>
  </si>
  <si>
    <t>BABULAL PATEL</t>
  </si>
  <si>
    <t>CBHPP4842F</t>
  </si>
  <si>
    <t>SHREE NATH AGRO BANEDIYA</t>
  </si>
  <si>
    <t>27A</t>
  </si>
  <si>
    <r>
      <t xml:space="preserve">izek.k i= </t>
    </r>
    <r>
      <rPr>
        <b/>
        <sz val="12"/>
        <color theme="1"/>
        <rFont val="Times New Roman"/>
        <family val="1"/>
      </rPr>
      <t>85000</t>
    </r>
  </si>
  <si>
    <t>929179</t>
  </si>
  <si>
    <t>53036762432</t>
  </si>
  <si>
    <t>JAGDISH PATEL</t>
  </si>
  <si>
    <t>BLRPP7521E</t>
  </si>
  <si>
    <t>Jai Shri Balaji Warehouse</t>
  </si>
  <si>
    <r>
      <t xml:space="preserve">izek.k i= </t>
    </r>
    <r>
      <rPr>
        <b/>
        <sz val="12"/>
        <color theme="1"/>
        <rFont val="Times New Roman"/>
        <family val="1"/>
      </rPr>
      <t>130000</t>
    </r>
  </si>
  <si>
    <t>098563</t>
  </si>
  <si>
    <t>881320110000344</t>
  </si>
  <si>
    <t>JAI SHREE BALAJI WAREHOUSE</t>
  </si>
  <si>
    <t>CHHOTI BAI</t>
  </si>
  <si>
    <t>FQJPB0488K</t>
  </si>
  <si>
    <t>Maa bhawani warehouse</t>
  </si>
  <si>
    <r>
      <t xml:space="preserve">izek.k i= </t>
    </r>
    <r>
      <rPr>
        <b/>
        <sz val="11"/>
        <color theme="1"/>
        <rFont val="Times New Roman"/>
        <family val="1"/>
      </rPr>
      <t>190000</t>
    </r>
  </si>
  <si>
    <t>087804</t>
  </si>
  <si>
    <t>881220110000239</t>
  </si>
  <si>
    <t>MAA BHAWANI WAREHOUSE</t>
  </si>
  <si>
    <t>BKID0008812</t>
  </si>
  <si>
    <t>SANGITA</t>
  </si>
  <si>
    <t>OMYPS6897H</t>
  </si>
  <si>
    <t>JAI KISAN AGRO MARKETING</t>
  </si>
  <si>
    <t>GULAB CHAND JAIN</t>
  </si>
  <si>
    <t>ADUPJ8477H</t>
  </si>
  <si>
    <t>adarsh shakari vipnan samiti maryadit depalpur</t>
  </si>
  <si>
    <t>03./04./22</t>
  </si>
  <si>
    <r>
      <t xml:space="preserve">izek.k i= </t>
    </r>
    <r>
      <rPr>
        <b/>
        <sz val="11"/>
        <color theme="1"/>
        <rFont val="Times New Roman"/>
        <family val="1"/>
      </rPr>
      <t>88000</t>
    </r>
  </si>
  <si>
    <t>066735</t>
  </si>
  <si>
    <t>Bank of India</t>
  </si>
  <si>
    <t>883820110000089</t>
  </si>
  <si>
    <t>Adarsh Shakari Vipnan Samiti Maryadit Depalpur</t>
  </si>
  <si>
    <t xml:space="preserve">Adarsh Shakari Vipnan Samiti Maryadit </t>
  </si>
  <si>
    <t>AAAAM1619G</t>
  </si>
  <si>
    <t>RITIK RAJ WAREHOUSE</t>
  </si>
  <si>
    <r>
      <t xml:space="preserve">izek.k i= </t>
    </r>
    <r>
      <rPr>
        <b/>
        <sz val="11"/>
        <color theme="1"/>
        <rFont val="Times New Roman"/>
        <family val="1"/>
      </rPr>
      <t>350000</t>
    </r>
  </si>
  <si>
    <t>252893</t>
  </si>
  <si>
    <t>42256163427</t>
  </si>
  <si>
    <t>RITIKRAJ WAREHOUSE</t>
  </si>
  <si>
    <t>RAJ PATEL</t>
  </si>
  <si>
    <t>HCFPP4193F</t>
  </si>
  <si>
    <t>shree jagdish patel ware house</t>
  </si>
  <si>
    <t>104523</t>
  </si>
  <si>
    <t>882920110000232</t>
  </si>
  <si>
    <t>SHRI JAGDISH PATEL WAREHOUSE</t>
  </si>
  <si>
    <t>BKID0008829</t>
  </si>
  <si>
    <t>Vishal Patel</t>
  </si>
  <si>
    <t>ANSPP1672L</t>
  </si>
  <si>
    <t>Pira ji warehouse</t>
  </si>
  <si>
    <t>032174</t>
  </si>
  <si>
    <t>881310100013732</t>
  </si>
  <si>
    <t>SUNITA PRATAP SINGH PAWAR</t>
  </si>
  <si>
    <t>SUNITA BAI</t>
  </si>
  <si>
    <t>CXPPB5208M</t>
  </si>
  <si>
    <t>AMBIKA WAREHOUSE</t>
  </si>
  <si>
    <r>
      <t xml:space="preserve">izek.k i= </t>
    </r>
    <r>
      <rPr>
        <b/>
        <sz val="11"/>
        <color theme="1"/>
        <rFont val="Times New Roman"/>
        <family val="1"/>
      </rPr>
      <t>225000</t>
    </r>
  </si>
  <si>
    <t>496244</t>
  </si>
  <si>
    <t>20183706595</t>
  </si>
  <si>
    <t>ANITA JAKHETIA</t>
  </si>
  <si>
    <t>AGQPA0619M</t>
  </si>
  <si>
    <t>SHREE MARUTI WAREHOUSE</t>
  </si>
  <si>
    <r>
      <t xml:space="preserve">izek.k i= </t>
    </r>
    <r>
      <rPr>
        <b/>
        <sz val="11"/>
        <color theme="1"/>
        <rFont val="Times New Roman"/>
        <family val="1"/>
      </rPr>
      <t>450000</t>
    </r>
  </si>
  <si>
    <t>000199</t>
  </si>
  <si>
    <t>53950200000112</t>
  </si>
  <si>
    <t>BARB0DEPALP</t>
  </si>
  <si>
    <t>JAYANT VERMA</t>
  </si>
  <si>
    <t>ACZPV2573N</t>
  </si>
  <si>
    <t>Pawar warehouse</t>
  </si>
  <si>
    <r>
      <t xml:space="preserve">izek.k i= </t>
    </r>
    <r>
      <rPr>
        <b/>
        <sz val="11"/>
        <color theme="1"/>
        <rFont val="Times New Roman"/>
        <family val="1"/>
      </rPr>
      <t>150000</t>
    </r>
  </si>
  <si>
    <t>000034</t>
  </si>
  <si>
    <t>17610200000217</t>
  </si>
  <si>
    <t>PANWAR WAREHOUSE</t>
  </si>
  <si>
    <t>BARB0DHANNA</t>
  </si>
  <si>
    <t>ANITA PANWAR</t>
  </si>
  <si>
    <t>DWYPP1376K</t>
  </si>
  <si>
    <t>Vyas Warehouse</t>
  </si>
  <si>
    <r>
      <t xml:space="preserve">izek.k i= </t>
    </r>
    <r>
      <rPr>
        <b/>
        <sz val="11"/>
        <color theme="1"/>
        <rFont val="Times New Roman"/>
        <family val="1"/>
      </rPr>
      <t>140000</t>
    </r>
  </si>
  <si>
    <t>706243</t>
  </si>
  <si>
    <t>241502000000022</t>
  </si>
  <si>
    <t>VINOD VYAS</t>
  </si>
  <si>
    <t>IOBA0002135</t>
  </si>
  <si>
    <t>AOIPV7459J</t>
  </si>
  <si>
    <t>DIAMOND WAREHOUSE</t>
  </si>
  <si>
    <t>000201</t>
  </si>
  <si>
    <t>381401500413</t>
  </si>
  <si>
    <t>USMAN</t>
  </si>
  <si>
    <t>ICIC0003814</t>
  </si>
  <si>
    <t>AEJPU8144G</t>
  </si>
  <si>
    <t>Sonogra waer House</t>
  </si>
  <si>
    <t>691978</t>
  </si>
  <si>
    <t>120001691710</t>
  </si>
  <si>
    <t>SONGARA WAREHOUSE</t>
  </si>
  <si>
    <t>CNRB0005682</t>
  </si>
  <si>
    <t>Maa Narmada Coldstore and Warehouse Pvt Ltd</t>
  </si>
  <si>
    <t>687912</t>
  </si>
  <si>
    <t>497401010036555</t>
  </si>
  <si>
    <t>MAA NARMADA COLDSTORE AND WAREHOUSE PRIVATE LIMITED</t>
  </si>
  <si>
    <t>UBIN0549746</t>
  </si>
  <si>
    <t>GAURAV CHOUDHARY</t>
  </si>
  <si>
    <t>APWPC3217Q</t>
  </si>
  <si>
    <t>ananta warehouse</t>
  </si>
  <si>
    <t>000032</t>
  </si>
  <si>
    <t>41910100000928</t>
  </si>
  <si>
    <t>ANITA JAKHETIA W/O JAY PRAKASH</t>
  </si>
  <si>
    <t>BARB0PALDAX</t>
  </si>
  <si>
    <t>SHREE BALAJI WAREHOUSE</t>
  </si>
  <si>
    <r>
      <t xml:space="preserve">izek.k i= </t>
    </r>
    <r>
      <rPr>
        <b/>
        <sz val="11"/>
        <color theme="1"/>
        <rFont val="Times New Roman"/>
        <family val="1"/>
      </rPr>
      <t>3600000</t>
    </r>
  </si>
  <si>
    <t>000026</t>
  </si>
  <si>
    <t>17610200000286</t>
  </si>
  <si>
    <t>ALKESH NAGAR</t>
  </si>
  <si>
    <t>AHCPN7189E</t>
  </si>
  <si>
    <t>UDAY WAREHOUSE</t>
  </si>
  <si>
    <r>
      <t xml:space="preserve">izek.k i= </t>
    </r>
    <r>
      <rPr>
        <b/>
        <sz val="11"/>
        <color theme="1"/>
        <rFont val="Times New Roman"/>
        <family val="1"/>
      </rPr>
      <t>250000</t>
    </r>
  </si>
  <si>
    <t>240293</t>
  </si>
  <si>
    <t>520701010130496</t>
  </si>
  <si>
    <t>NITIKA JOSHI</t>
  </si>
  <si>
    <t>UBIN0552071</t>
  </si>
  <si>
    <t>ACTPJ9790M</t>
  </si>
  <si>
    <t>SHREENATH WAREHOUSE GOKALPUR</t>
  </si>
  <si>
    <t>358361</t>
  </si>
  <si>
    <t>Punjab National Bank</t>
  </si>
  <si>
    <t>9854002100001819</t>
  </si>
  <si>
    <t>SHREE NATH WAREHOUSE</t>
  </si>
  <si>
    <t>PUNB0985400</t>
  </si>
  <si>
    <t>REENA</t>
  </si>
  <si>
    <t>CTRPR9623N</t>
  </si>
  <si>
    <t>shree vinayak warehouse</t>
  </si>
  <si>
    <t>070069</t>
  </si>
  <si>
    <t>Bank Of Maharashtra</t>
  </si>
  <si>
    <t>60379923340</t>
  </si>
  <si>
    <t>SHREE VINAYAK WAREHOUSE</t>
  </si>
  <si>
    <t>MAHB0001765</t>
  </si>
  <si>
    <t>AEIFS1265F</t>
  </si>
  <si>
    <t>SHREE GANESH WAREHOUSE</t>
  </si>
  <si>
    <t>52/127</t>
  </si>
  <si>
    <r>
      <t xml:space="preserve">izek.k i= </t>
    </r>
    <r>
      <rPr>
        <b/>
        <sz val="12"/>
        <color theme="1"/>
        <rFont val="Times New Roman"/>
        <family val="1"/>
      </rPr>
      <t>100000</t>
    </r>
  </si>
  <si>
    <t>000027</t>
  </si>
  <si>
    <t>884020110000120</t>
  </si>
  <si>
    <t>SHRI GANESH WAREHOUSE</t>
  </si>
  <si>
    <t>BKID0008840</t>
  </si>
  <si>
    <t>MUKESH KUMAR PATEL</t>
  </si>
  <si>
    <t>BIBPP7401E</t>
  </si>
  <si>
    <t>VISHAL WAREHOUSE</t>
  </si>
  <si>
    <r>
      <t xml:space="preserve">izek.k i= </t>
    </r>
    <r>
      <rPr>
        <b/>
        <sz val="12"/>
        <color theme="1"/>
        <rFont val="Times New Roman"/>
        <family val="1"/>
      </rPr>
      <t>150000</t>
    </r>
  </si>
  <si>
    <t>000036</t>
  </si>
  <si>
    <t>42710200000063</t>
  </si>
  <si>
    <t>VISHAL WAREHOUSE PROP VASUDEV PATIDAR</t>
  </si>
  <si>
    <t>BARB0MGRIND</t>
  </si>
  <si>
    <t>VASUDEV PATIDAR</t>
  </si>
  <si>
    <t>BIWPP5242C</t>
  </si>
  <si>
    <t>RESHAM WAREHOUSE</t>
  </si>
  <si>
    <t>127055</t>
  </si>
  <si>
    <t>882920110000269</t>
  </si>
  <si>
    <t>Resham Bai</t>
  </si>
  <si>
    <t>BRRPB1058A</t>
  </si>
  <si>
    <r>
      <t xml:space="preserve">KRISHNA WARE HOUSE  </t>
    </r>
    <r>
      <rPr>
        <sz val="11"/>
        <color theme="1"/>
        <rFont val="Kruti Dev 010"/>
      </rPr>
      <t>¼—".kkckbZ xaxkjke½</t>
    </r>
    <r>
      <rPr>
        <sz val="10"/>
        <color theme="1"/>
        <rFont val="Calibri"/>
        <family val="2"/>
        <scheme val="minor"/>
      </rPr>
      <t xml:space="preserve">  (PMS)</t>
    </r>
  </si>
  <si>
    <t xml:space="preserve">2021231330609741 </t>
  </si>
  <si>
    <t>Krishana Warehouse</t>
  </si>
  <si>
    <t>AUBL0002313</t>
  </si>
  <si>
    <t>AU SMALL FINANCE BANK LIMITED</t>
  </si>
  <si>
    <t>Krishnabai</t>
  </si>
  <si>
    <t>DBTPB7197G</t>
  </si>
  <si>
    <t>Shree ram warehouse</t>
  </si>
  <si>
    <r>
      <t xml:space="preserve">izek.k i= </t>
    </r>
    <r>
      <rPr>
        <b/>
        <sz val="12"/>
        <color theme="1"/>
        <rFont val="Times New Roman"/>
        <family val="1"/>
      </rPr>
      <t>270000</t>
    </r>
  </si>
  <si>
    <t>762670</t>
  </si>
  <si>
    <t>40771804697</t>
  </si>
  <si>
    <t>SHREE RAM WAREHOUSE</t>
  </si>
  <si>
    <t>SBIN0003017</t>
  </si>
  <si>
    <t>RAM KANYA</t>
  </si>
  <si>
    <t>KOZPK2435C</t>
  </si>
  <si>
    <t>omni warehOUSING (PMS)</t>
  </si>
  <si>
    <t>913720110000124</t>
  </si>
  <si>
    <t>OMNI WAREHOUSING</t>
  </si>
  <si>
    <t>BKID0009137</t>
  </si>
  <si>
    <t>NIRMALA GUPTA</t>
  </si>
  <si>
    <t>AHCPG1904E</t>
  </si>
  <si>
    <t>Annapurneshwari Agritech pvt. ltd.</t>
  </si>
  <si>
    <t>437812</t>
  </si>
  <si>
    <t>3306201000243</t>
  </si>
  <si>
    <t>ANNAPURNESHWARI AGRITECH PVT. LTD.</t>
  </si>
  <si>
    <t>CNRB0001476</t>
  </si>
  <si>
    <t>ANNAPURNESHWARI AGRITECH PRIVATE  LIMITED</t>
  </si>
  <si>
    <t>AAUCA0556G</t>
  </si>
  <si>
    <t>KRITI WAREHOUSING INFRASTRUCTURE</t>
  </si>
  <si>
    <r>
      <t xml:space="preserve">izek.k i= </t>
    </r>
    <r>
      <rPr>
        <b/>
        <sz val="12"/>
        <color theme="1"/>
        <rFont val="Times New Roman"/>
        <family val="1"/>
      </rPr>
      <t>88000</t>
    </r>
  </si>
  <si>
    <t>000030</t>
  </si>
  <si>
    <t>29270200000809</t>
  </si>
  <si>
    <t>KRITI WAREHOUSE INFRASTRUCTURE</t>
  </si>
  <si>
    <t>BARB0VIJIND</t>
  </si>
  <si>
    <t>VIRENDRA KUMAR JAIN</t>
  </si>
  <si>
    <t>ADQPJ0175N</t>
  </si>
  <si>
    <t>ARPAN AGRI INFRASTRUCTURE</t>
  </si>
  <si>
    <r>
      <t xml:space="preserve">izek.k i= </t>
    </r>
    <r>
      <rPr>
        <b/>
        <sz val="12"/>
        <color theme="1"/>
        <rFont val="Times New Roman"/>
        <family val="1"/>
      </rPr>
      <t>84000</t>
    </r>
  </si>
  <si>
    <t>448422</t>
  </si>
  <si>
    <t>391601010036045</t>
  </si>
  <si>
    <t>UBIN0539163</t>
  </si>
  <si>
    <t>SHILPA JAIN</t>
  </si>
  <si>
    <t>AGRPM7139H</t>
  </si>
  <si>
    <t>Shri Sanwariya Warehouses</t>
  </si>
  <si>
    <t>.24/2</t>
  </si>
  <si>
    <r>
      <t xml:space="preserve">izek.k i= </t>
    </r>
    <r>
      <rPr>
        <b/>
        <sz val="12"/>
        <color theme="1"/>
        <rFont val="Times New Roman"/>
        <family val="1"/>
      </rPr>
      <t>4567500</t>
    </r>
  </si>
  <si>
    <t>053993</t>
  </si>
  <si>
    <t>AXIS BANK</t>
  </si>
  <si>
    <t>920020015820630</t>
  </si>
  <si>
    <t>SANWARIYA WAREHOUSES</t>
  </si>
  <si>
    <t>UTIB0002820</t>
  </si>
  <si>
    <t>SARASWATI YADAV</t>
  </si>
  <si>
    <t>ACHPY3121H</t>
  </si>
  <si>
    <t>BABA MAHAKALESHWAR WAREHOUSE</t>
  </si>
  <si>
    <r>
      <t xml:space="preserve">izek.k i= </t>
    </r>
    <r>
      <rPr>
        <b/>
        <sz val="12"/>
        <color theme="1"/>
        <rFont val="Times New Roman"/>
        <family val="1"/>
      </rPr>
      <t>750000</t>
    </r>
  </si>
  <si>
    <t>50200059699690</t>
  </si>
  <si>
    <t>HDFC0002000</t>
  </si>
  <si>
    <t>AAYFB0300Q</t>
  </si>
  <si>
    <t>jagirdar warehouse</t>
  </si>
  <si>
    <r>
      <t xml:space="preserve">izek.k i= </t>
    </r>
    <r>
      <rPr>
        <b/>
        <sz val="12"/>
        <color theme="1"/>
        <rFont val="Times New Roman"/>
        <family val="1"/>
      </rPr>
      <t>75000</t>
    </r>
  </si>
  <si>
    <t>759207</t>
  </si>
  <si>
    <t>Madhya Pradesh Gramin Bank</t>
  </si>
  <si>
    <t>043210410002558</t>
  </si>
  <si>
    <t>BKID0MG0432</t>
  </si>
  <si>
    <t>SHYAMU CHOUDHARY</t>
  </si>
  <si>
    <t>CKFPC7287Q</t>
  </si>
  <si>
    <t>SHRINATH WAREHOUSE  chandravatiganj</t>
  </si>
  <si>
    <t>147877</t>
  </si>
  <si>
    <t>05240210000045</t>
  </si>
  <si>
    <t>UCBA0000524</t>
  </si>
  <si>
    <t>JAGDISH</t>
  </si>
  <si>
    <t>BFVPJ1749G</t>
  </si>
  <si>
    <t>Shri sai warehouse   (PMS)</t>
  </si>
  <si>
    <t>881520110000370</t>
  </si>
  <si>
    <t>SHRI SAI WAREHOUSE</t>
  </si>
  <si>
    <t>BKID0008815</t>
  </si>
  <si>
    <t>Sunita Kumar</t>
  </si>
  <si>
    <t>DNIPK7603D</t>
  </si>
  <si>
    <t>MAA SUSHILA WAREHOUSE</t>
  </si>
  <si>
    <r>
      <t xml:space="preserve">izek.k i= </t>
    </r>
    <r>
      <rPr>
        <b/>
        <sz val="12"/>
        <color theme="1"/>
        <rFont val="Times New Roman"/>
        <family val="1"/>
      </rPr>
      <t>200000</t>
    </r>
  </si>
  <si>
    <t>053913</t>
  </si>
  <si>
    <t>884020110000261</t>
  </si>
  <si>
    <t>MAA SUSHILA WARE HOUSE</t>
  </si>
  <si>
    <t>KIRAN PATEL</t>
  </si>
  <si>
    <t>GABPP4841K</t>
  </si>
  <si>
    <t>ANANDI WAREHOUSE</t>
  </si>
  <si>
    <t>128490</t>
  </si>
  <si>
    <t>882920110000307</t>
  </si>
  <si>
    <t>AAYFA8837D</t>
  </si>
  <si>
    <t>Nirmal Satya Warehouse</t>
  </si>
  <si>
    <r>
      <t xml:space="preserve">izek.k i= </t>
    </r>
    <r>
      <rPr>
        <b/>
        <sz val="12"/>
        <color theme="1"/>
        <rFont val="Times New Roman"/>
        <family val="1"/>
      </rPr>
      <t>235000</t>
    </r>
  </si>
  <si>
    <t>000063</t>
  </si>
  <si>
    <t>24210210001035</t>
  </si>
  <si>
    <t>NIRMALL SATYA WAREHOUSE</t>
  </si>
  <si>
    <t>UCBA0002421</t>
  </si>
  <si>
    <t>SEEMA BAI</t>
  </si>
  <si>
    <t>GJAPB7996H</t>
  </si>
  <si>
    <t>2209 MT</t>
  </si>
  <si>
    <t>gambhir COLDSTORAGE PVT LTD</t>
  </si>
  <si>
    <t>767933</t>
  </si>
  <si>
    <t>1936002100016441</t>
  </si>
  <si>
    <t>GAMBHIR COLD STORAGE LIMITED , NANDLAL MANGILAL JHANWAR</t>
  </si>
  <si>
    <t>PUNB0193600</t>
  </si>
  <si>
    <t>GAMBHIR COLD STORAGE PRIVATE LIMITED</t>
  </si>
  <si>
    <t>AACCG2378J</t>
  </si>
  <si>
    <t>Shree king warehouse</t>
  </si>
  <si>
    <t>098757</t>
  </si>
  <si>
    <t>881320110000343</t>
  </si>
  <si>
    <t>SHREE KING WAREHOUSE</t>
  </si>
  <si>
    <t>Soni Devendra Sharma</t>
  </si>
  <si>
    <t>DSRPS8281R</t>
  </si>
  <si>
    <t>SAMRIDDHI WAREHOUSE</t>
  </si>
  <si>
    <r>
      <t xml:space="preserve">izek.k i= </t>
    </r>
    <r>
      <rPr>
        <b/>
        <sz val="12"/>
        <color theme="1"/>
        <rFont val="Times New Roman"/>
        <family val="1"/>
      </rPr>
      <t>250000</t>
    </r>
  </si>
  <si>
    <t>131671</t>
  </si>
  <si>
    <t>882920110000353</t>
  </si>
  <si>
    <t>SAMRUDHI WAREHOUSE</t>
  </si>
  <si>
    <t>ACOFS5269F</t>
  </si>
  <si>
    <t>thakur ware house</t>
  </si>
  <si>
    <t>000005</t>
  </si>
  <si>
    <t>05240200000101</t>
  </si>
  <si>
    <t>THAKUR.WARE.HOUSE</t>
  </si>
  <si>
    <t>MANOHAR THAKUR</t>
  </si>
  <si>
    <t>ABCPT2598P</t>
  </si>
  <si>
    <t>madhusudan warehouse</t>
  </si>
  <si>
    <t>000019</t>
  </si>
  <si>
    <t>24210210000052</t>
  </si>
  <si>
    <t>MADHUSUDAN WAREHOUSE PROCESSING &amp; MARKETING</t>
  </si>
  <si>
    <t>JIWANLAL PATEL</t>
  </si>
  <si>
    <t>AWYPP5225G</t>
  </si>
  <si>
    <r>
      <t xml:space="preserve">KRASHNA WAREHOUSE </t>
    </r>
    <r>
      <rPr>
        <sz val="12"/>
        <color theme="1"/>
        <rFont val="Kruti Dev 010"/>
      </rPr>
      <t>¼—".kk nssothjke½</t>
    </r>
  </si>
  <si>
    <r>
      <t xml:space="preserve">izek.k i= </t>
    </r>
    <r>
      <rPr>
        <b/>
        <sz val="12"/>
        <color theme="1"/>
        <rFont val="Times New Roman"/>
        <family val="1"/>
      </rPr>
      <t>113000</t>
    </r>
  </si>
  <si>
    <t>129810</t>
  </si>
  <si>
    <t>882920110000778</t>
  </si>
  <si>
    <t>KRASHNA WAREHOUSE</t>
  </si>
  <si>
    <t>KRISHNABAI</t>
  </si>
  <si>
    <t>LBEPK4545C</t>
  </si>
  <si>
    <t>Lakshya ware housing</t>
  </si>
  <si>
    <r>
      <t xml:space="preserve">izek.k i= </t>
    </r>
    <r>
      <rPr>
        <b/>
        <sz val="12"/>
        <color theme="1"/>
        <rFont val="Times New Roman"/>
        <family val="1"/>
      </rPr>
      <t>1000000</t>
    </r>
  </si>
  <si>
    <t>000092</t>
  </si>
  <si>
    <t>5588636700</t>
  </si>
  <si>
    <t>LAKSHYA WARE HOUSING</t>
  </si>
  <si>
    <t>CBIN0280764</t>
  </si>
  <si>
    <t>Central Bank of India</t>
  </si>
  <si>
    <t>LAKSHYA WAREHOUSING</t>
  </si>
  <si>
    <t>AAEFL9530E</t>
  </si>
  <si>
    <t>Shree avantika nath warehouse</t>
  </si>
  <si>
    <t>239104</t>
  </si>
  <si>
    <t>40705990271</t>
  </si>
  <si>
    <t>GULAB BAI</t>
  </si>
  <si>
    <t>DXGPB0738C</t>
  </si>
  <si>
    <t>NAMAN WAREHOUSE</t>
  </si>
  <si>
    <t>257502</t>
  </si>
  <si>
    <t>881020110000933</t>
  </si>
  <si>
    <t>BKID0008810</t>
  </si>
  <si>
    <t>MALTI CHOUDHARY</t>
  </si>
  <si>
    <t>AISPC8280C</t>
  </si>
  <si>
    <t>mukati ware house</t>
  </si>
  <si>
    <t>39A</t>
  </si>
  <si>
    <r>
      <t xml:space="preserve">izek.k i= </t>
    </r>
    <r>
      <rPr>
        <b/>
        <sz val="12"/>
        <color theme="1"/>
        <rFont val="Times New Roman"/>
        <family val="1"/>
      </rPr>
      <t>510000</t>
    </r>
  </si>
  <si>
    <t>270973</t>
  </si>
  <si>
    <t>882910110004192</t>
  </si>
  <si>
    <t>TULASIRAM KANHAIYALAL MUKATI</t>
  </si>
  <si>
    <t>TULSIRAM MUKATI</t>
  </si>
  <si>
    <t>BHRPM2624P</t>
  </si>
  <si>
    <t>Mhow</t>
  </si>
  <si>
    <t>SHARMA WAREHOUSING AND AGRO MARKETING</t>
  </si>
  <si>
    <t>002952</t>
  </si>
  <si>
    <t>6832002100000248</t>
  </si>
  <si>
    <t>SHARMA WARE HOUSING AND AGRO MARKETING</t>
  </si>
  <si>
    <t>PUNB0683200</t>
  </si>
  <si>
    <t>ACHFS1215L</t>
  </si>
  <si>
    <t>agrawal ware houses</t>
  </si>
  <si>
    <t>044763</t>
  </si>
  <si>
    <t>IDBI Bank</t>
  </si>
  <si>
    <t>0155102000016320</t>
  </si>
  <si>
    <t>IBKL0000155</t>
  </si>
  <si>
    <t>TRIPTI AGRAWAL</t>
  </si>
  <si>
    <t>AFSPA8958E</t>
  </si>
  <si>
    <t>YADAV WAREHOUSE</t>
  </si>
  <si>
    <t>691062</t>
  </si>
  <si>
    <t>Induslnd Bank</t>
  </si>
  <si>
    <t>650014119269</t>
  </si>
  <si>
    <t>NIRMALA YADAV</t>
  </si>
  <si>
    <t>INDB0000011</t>
  </si>
  <si>
    <t>Nirmala yadav</t>
  </si>
  <si>
    <t>ABUPY9457A</t>
  </si>
  <si>
    <t>Jhabua</t>
  </si>
  <si>
    <t>Petlawad</t>
  </si>
  <si>
    <t>Patidar warehouse</t>
  </si>
  <si>
    <t>766378</t>
  </si>
  <si>
    <t>40964191262</t>
  </si>
  <si>
    <t>Patidar Warehouse Prop Sampat Bai Patidar</t>
  </si>
  <si>
    <t>SBIN0030049</t>
  </si>
  <si>
    <t>State Bank of India</t>
  </si>
  <si>
    <t>Sampat Bai Patidar</t>
  </si>
  <si>
    <t>GCKPP8631L</t>
  </si>
  <si>
    <t>shri sai warehouse</t>
  </si>
  <si>
    <t>890524</t>
  </si>
  <si>
    <t>63037800042</t>
  </si>
  <si>
    <t>Mr. Ravindra Kumar Ramchandra Agrawal</t>
  </si>
  <si>
    <t>Ravindra Kumar Agrawal</t>
  </si>
  <si>
    <t>BBTPA8011J</t>
  </si>
  <si>
    <t>Paliwal Warehouse</t>
  </si>
  <si>
    <t>810548</t>
  </si>
  <si>
    <t>39919906537</t>
  </si>
  <si>
    <t>RANJANA PALIWAL</t>
  </si>
  <si>
    <t>AMMPP2908C</t>
  </si>
  <si>
    <t>shree sai warehouse unit 2</t>
  </si>
  <si>
    <t>890526</t>
  </si>
  <si>
    <t>Khandwa</t>
  </si>
  <si>
    <t>Chanera</t>
  </si>
  <si>
    <t>SAINT BUKHARDAS BABA WAREHOUSE</t>
  </si>
  <si>
    <t>199910</t>
  </si>
  <si>
    <t>31363990640</t>
  </si>
  <si>
    <t>Mr. Kamalkant Bhardwaj SO Gouri Shanker</t>
  </si>
  <si>
    <t>SBIN0001472</t>
  </si>
  <si>
    <t>Kamal Kant Bhardwaj</t>
  </si>
  <si>
    <t>ALKPB0241M</t>
  </si>
  <si>
    <t>MAHAVIR AGRO</t>
  </si>
  <si>
    <r>
      <t xml:space="preserve">izek.k i= </t>
    </r>
    <r>
      <rPr>
        <b/>
        <sz val="12"/>
        <color theme="1"/>
        <rFont val="Times New Roman"/>
        <family val="1"/>
      </rPr>
      <t>4001432</t>
    </r>
  </si>
  <si>
    <t>131017</t>
  </si>
  <si>
    <t>3615015306</t>
  </si>
  <si>
    <t>Mahavir Agro</t>
  </si>
  <si>
    <t>CBIN0282265</t>
  </si>
  <si>
    <t>Chanda Jain</t>
  </si>
  <si>
    <t>ACUPJ3196L</t>
  </si>
  <si>
    <t>sai warehouse</t>
  </si>
  <si>
    <t>7/7A</t>
  </si>
  <si>
    <r>
      <t xml:space="preserve">izek.k i= </t>
    </r>
    <r>
      <rPr>
        <b/>
        <sz val="12"/>
        <color theme="1"/>
        <rFont val="Times New Roman"/>
        <family val="1"/>
      </rPr>
      <t>6423750</t>
    </r>
  </si>
  <si>
    <t>013157</t>
  </si>
  <si>
    <t>Jila Sahakari Kendriya Bank Maryadit ,Khandwa</t>
  </si>
  <si>
    <t>159007824980</t>
  </si>
  <si>
    <t>Sai Warehouse (Kshama)</t>
  </si>
  <si>
    <t>CBIN0MPDCAR</t>
  </si>
  <si>
    <t>Kshama Agrawal</t>
  </si>
  <si>
    <t>EJVPA6204G</t>
  </si>
  <si>
    <t>PATEL WARE HOUSE CHHANERA</t>
  </si>
  <si>
    <r>
      <t xml:space="preserve">izek.k i= </t>
    </r>
    <r>
      <rPr>
        <b/>
        <sz val="12"/>
        <color theme="1"/>
        <rFont val="Times New Roman"/>
        <family val="1"/>
      </rPr>
      <t>285000</t>
    </r>
  </si>
  <si>
    <t>050447</t>
  </si>
  <si>
    <t>952010110008956</t>
  </si>
  <si>
    <t>Pushpa Bai Gahlod W/O Ramniwas Gahlod</t>
  </si>
  <si>
    <t>BKID0009520</t>
  </si>
  <si>
    <t>Pushpa Bai Patel</t>
  </si>
  <si>
    <t>CIMPG2599C</t>
  </si>
  <si>
    <t>annapurna agro</t>
  </si>
  <si>
    <t>230828</t>
  </si>
  <si>
    <t>026610110002269</t>
  </si>
  <si>
    <t>Annapurna Agro Warehouse</t>
  </si>
  <si>
    <t>BKID0NAMRGB</t>
  </si>
  <si>
    <t>Pragati Patel</t>
  </si>
  <si>
    <t>CJLPP6487J</t>
  </si>
  <si>
    <t>siddhi warehousing corporation</t>
  </si>
  <si>
    <t>301177</t>
  </si>
  <si>
    <t>39731550738</t>
  </si>
  <si>
    <t>Siddhi warehousing corporation</t>
  </si>
  <si>
    <t>SBIN0017717</t>
  </si>
  <si>
    <t>Maharsh Jain</t>
  </si>
  <si>
    <t>BMKPJ9724P</t>
  </si>
  <si>
    <t>MAA NARMADA WAREHOUSE CHHANERA</t>
  </si>
  <si>
    <r>
      <rPr>
        <b/>
        <sz val="12"/>
        <color theme="1"/>
        <rFont val="Kruti Dev 010"/>
      </rPr>
      <t xml:space="preserve">izek.k i= </t>
    </r>
    <r>
      <rPr>
        <b/>
        <sz val="12"/>
        <color theme="1"/>
        <rFont val="Times New Roman"/>
        <family val="1"/>
      </rPr>
      <t>120000</t>
    </r>
  </si>
  <si>
    <t>024251</t>
  </si>
  <si>
    <t>930256</t>
  </si>
  <si>
    <t>11254990381</t>
  </si>
  <si>
    <t>Sanjay Yadav</t>
  </si>
  <si>
    <t>Sanjay Kumar Yadav</t>
  </si>
  <si>
    <t>AFDPY1329L</t>
  </si>
  <si>
    <t>Mahadev warehouse</t>
  </si>
  <si>
    <t>07880200001656</t>
  </si>
  <si>
    <t>Mahadev Warehouse</t>
  </si>
  <si>
    <t>BARB0KHANDW</t>
  </si>
  <si>
    <t>Monika Agrawal</t>
  </si>
  <si>
    <t>AVVPT0058K</t>
  </si>
  <si>
    <t>patel warehouse</t>
  </si>
  <si>
    <t>izek.k i= 250000</t>
  </si>
  <si>
    <t>658425</t>
  </si>
  <si>
    <t>120002374349</t>
  </si>
  <si>
    <t>Patel Warehouse</t>
  </si>
  <si>
    <t>CNRB0005833</t>
  </si>
  <si>
    <t>Manju Patel</t>
  </si>
  <si>
    <t>HAUPP5019K</t>
  </si>
  <si>
    <t>shiv warehouse</t>
  </si>
  <si>
    <t>015939</t>
  </si>
  <si>
    <t>159008209656</t>
  </si>
  <si>
    <t>Shiv Warehouse</t>
  </si>
  <si>
    <t>Shiv Narayan Tawanr</t>
  </si>
  <si>
    <t>BQPPT5441N</t>
  </si>
  <si>
    <t>Mantri Agri Cares</t>
  </si>
  <si>
    <r>
      <rPr>
        <b/>
        <sz val="12"/>
        <color theme="1"/>
        <rFont val="Kruti Dev 010"/>
      </rPr>
      <t xml:space="preserve">izek.k i= </t>
    </r>
    <r>
      <rPr>
        <b/>
        <sz val="12"/>
        <color theme="1"/>
        <rFont val="Times New Roman"/>
        <family val="1"/>
      </rPr>
      <t>3000000</t>
    </r>
  </si>
  <si>
    <t>066178</t>
  </si>
  <si>
    <t>952020110000163</t>
  </si>
  <si>
    <t>Sunil Mantri</t>
  </si>
  <si>
    <t>ACBPM8843N</t>
  </si>
  <si>
    <t>Khalwa</t>
  </si>
  <si>
    <t>DIVYA SHAKTI WAREHOUSE</t>
  </si>
  <si>
    <t>18-A,B,C, 21</t>
  </si>
  <si>
    <r>
      <t xml:space="preserve">izek.k i= </t>
    </r>
    <r>
      <rPr>
        <b/>
        <sz val="12"/>
        <color theme="1"/>
        <rFont val="Times New Roman"/>
        <family val="1"/>
      </rPr>
      <t>60000</t>
    </r>
  </si>
  <si>
    <t>2546201005576</t>
  </si>
  <si>
    <t>Vijay Shah</t>
  </si>
  <si>
    <t>CNRB0002546</t>
  </si>
  <si>
    <t>AVUPS9489E</t>
  </si>
  <si>
    <t>028582</t>
  </si>
  <si>
    <t>07880200001631</t>
  </si>
  <si>
    <t>Shree Ganesh Warehouse</t>
  </si>
  <si>
    <t>BARB0VJKHWA</t>
  </si>
  <si>
    <t>Priyanka Goyal</t>
  </si>
  <si>
    <t>BOHPG3083H</t>
  </si>
  <si>
    <t>DHEER WAREHOUSE</t>
  </si>
  <si>
    <t>023534</t>
  </si>
  <si>
    <t>07880200001630</t>
  </si>
  <si>
    <t>Dheer Warehouse</t>
  </si>
  <si>
    <t>Sonam Goyal</t>
  </si>
  <si>
    <t>BNOPA6604G</t>
  </si>
  <si>
    <t>BIRDICHAND MOHANLAL GUPTA WAREHOUSE KHEDI</t>
  </si>
  <si>
    <r>
      <t xml:space="preserve">izek.k i= </t>
    </r>
    <r>
      <rPr>
        <b/>
        <sz val="12"/>
        <color theme="1"/>
        <rFont val="Times New Roman"/>
        <family val="1"/>
      </rPr>
      <t>350000</t>
    </r>
  </si>
  <si>
    <t>358855</t>
  </si>
  <si>
    <t>950227110000052</t>
  </si>
  <si>
    <t>Birdichand Gupta</t>
  </si>
  <si>
    <t>BKID0009502</t>
  </si>
  <si>
    <t>Birdi Chand Gupta</t>
  </si>
  <si>
    <t>ABDPG5544P</t>
  </si>
  <si>
    <t>Khandwa-SWC</t>
  </si>
  <si>
    <t>gurleen sales &amp; Logistics</t>
  </si>
  <si>
    <t>Gurleen Kaur Bhatia</t>
  </si>
  <si>
    <t>DVWPB6533B</t>
  </si>
  <si>
    <t>KAVERI MERCANTILE WAREHOUSING UNIT</t>
  </si>
  <si>
    <t>9&amp;9A</t>
  </si>
  <si>
    <t>950220100031169</t>
  </si>
  <si>
    <t xml:space="preserve">KAVERI MERCANTILE </t>
  </si>
  <si>
    <t>AAIFK1532B</t>
  </si>
  <si>
    <t>Chouhan agro house</t>
  </si>
  <si>
    <r>
      <rPr>
        <b/>
        <sz val="12"/>
        <color theme="1"/>
        <rFont val="Kruti Dev 010"/>
      </rPr>
      <t xml:space="preserve">izek.k i= </t>
    </r>
    <r>
      <rPr>
        <b/>
        <sz val="12"/>
        <color theme="1"/>
        <rFont val="Times New Roman"/>
        <family val="1"/>
      </rPr>
      <t>1000000</t>
    </r>
  </si>
  <si>
    <t>547102000001601</t>
  </si>
  <si>
    <t>Chouhan Agro House</t>
  </si>
  <si>
    <t>IBKL0000547</t>
  </si>
  <si>
    <t>Mohd Imran</t>
  </si>
  <si>
    <t>ABNPI6845H</t>
  </si>
  <si>
    <t>KRISHNA WAREHOUSE</t>
  </si>
  <si>
    <t>292020</t>
  </si>
  <si>
    <t>3899045141</t>
  </si>
  <si>
    <t>M/S Krishna Warehouse</t>
  </si>
  <si>
    <t>CBIN0280761</t>
  </si>
  <si>
    <t>Vimla Solanki</t>
  </si>
  <si>
    <t>AGTPS4683A</t>
  </si>
  <si>
    <t>shri balaji warehouse &amp; grading</t>
  </si>
  <si>
    <r>
      <rPr>
        <b/>
        <sz val="12"/>
        <color theme="1"/>
        <rFont val="Kruti Dev 010"/>
      </rPr>
      <t xml:space="preserve">izek.k i= </t>
    </r>
    <r>
      <rPr>
        <b/>
        <sz val="12"/>
        <color theme="1"/>
        <rFont val="Times New Roman"/>
        <family val="1"/>
      </rPr>
      <t>150550</t>
    </r>
  </si>
  <si>
    <t>029091</t>
  </si>
  <si>
    <t>954820110000102</t>
  </si>
  <si>
    <t>SHRI BALAJI WAREHOUSE &amp; GRADING</t>
  </si>
  <si>
    <t>BKID0009548</t>
  </si>
  <si>
    <t>SARISH KUMAR SAINI</t>
  </si>
  <si>
    <t>BTDPS3451C</t>
  </si>
  <si>
    <t>Mahabal agro ware house</t>
  </si>
  <si>
    <r>
      <rPr>
        <b/>
        <sz val="12"/>
        <color theme="1"/>
        <rFont val="Kruti Dev 010"/>
      </rPr>
      <t xml:space="preserve">izek.k i= </t>
    </r>
    <r>
      <rPr>
        <b/>
        <sz val="12"/>
        <color theme="1"/>
        <rFont val="Times New Roman"/>
        <family val="1"/>
      </rPr>
      <t>167000</t>
    </r>
  </si>
  <si>
    <t>462426</t>
  </si>
  <si>
    <t>13450210000205</t>
  </si>
  <si>
    <t>Mahabal Agro Warehouse</t>
  </si>
  <si>
    <t>UCBA0001345</t>
  </si>
  <si>
    <t>Piyush Upadhyay</t>
  </si>
  <si>
    <t>AOOPM5363E</t>
  </si>
  <si>
    <t>seeds and grain india pvt.ltd</t>
  </si>
  <si>
    <t>90481010004378</t>
  </si>
  <si>
    <t>Seeds &amp; Grains India Pvt. Ltd</t>
  </si>
  <si>
    <t>CNRB0000350</t>
  </si>
  <si>
    <t>AAICS0473L</t>
  </si>
  <si>
    <t>JAI AGRASEN AGROTECH</t>
  </si>
  <si>
    <t>07880200001629</t>
  </si>
  <si>
    <t>BARBOKHANDW</t>
  </si>
  <si>
    <t>BANK OF BARODA</t>
  </si>
  <si>
    <t>OMPRAKASH AGRAWAL</t>
  </si>
  <si>
    <t>AFEPA3738C</t>
  </si>
  <si>
    <t>GURJAR WARE HOUSE</t>
  </si>
  <si>
    <t xml:space="preserve"> 'kIkFk i=</t>
  </si>
  <si>
    <t>951310110019134</t>
  </si>
  <si>
    <t>Maya Bai Patel</t>
  </si>
  <si>
    <t>BKID0009513</t>
  </si>
  <si>
    <t>FUPPP9862P</t>
  </si>
  <si>
    <t>YASHWANT WAREHOUSING</t>
  </si>
  <si>
    <r>
      <rPr>
        <b/>
        <sz val="12"/>
        <color theme="1"/>
        <rFont val="Kruti Dev 010"/>
      </rPr>
      <t xml:space="preserve">izek.k i= </t>
    </r>
    <r>
      <rPr>
        <b/>
        <sz val="12"/>
        <color theme="1"/>
        <rFont val="Times New Roman"/>
        <family val="1"/>
      </rPr>
      <t>410000</t>
    </r>
  </si>
  <si>
    <t>367659</t>
  </si>
  <si>
    <t>33689312558</t>
  </si>
  <si>
    <t>Yashwant Warehousing</t>
  </si>
  <si>
    <t>SBIN0000408</t>
  </si>
  <si>
    <t>Yashwant Soni</t>
  </si>
  <si>
    <t>ANXPS8809H</t>
  </si>
  <si>
    <t>LAXMI GANGA WAREHOUSE</t>
  </si>
  <si>
    <t>000017</t>
  </si>
  <si>
    <t>Kotak Mahindra Bank</t>
  </si>
  <si>
    <t>8145118895</t>
  </si>
  <si>
    <t>Laxmi Ganga Agro Warehouse</t>
  </si>
  <si>
    <t>KKBK0005915</t>
  </si>
  <si>
    <t>Laxmi Ganga Agro Ware House</t>
  </si>
  <si>
    <t>AAJFL0035H</t>
  </si>
  <si>
    <t>AKSHITA AGRO WAREHOUSE</t>
  </si>
  <si>
    <t>000018</t>
  </si>
  <si>
    <t>8145117218</t>
  </si>
  <si>
    <t>Akshita Agro Warehouse</t>
  </si>
  <si>
    <t>ABSFA7434P</t>
  </si>
  <si>
    <t>SHREE MAA NARMADA WAREHOUSE</t>
  </si>
  <si>
    <t>031927</t>
  </si>
  <si>
    <t>159000614639</t>
  </si>
  <si>
    <t>Rukhmanee Bai Lathi</t>
  </si>
  <si>
    <t>BOVPL6590J</t>
  </si>
  <si>
    <t>JAY BHOLE WAREHOUSE</t>
  </si>
  <si>
    <t>024526</t>
  </si>
  <si>
    <t>60376619980</t>
  </si>
  <si>
    <t>Jay Bhole Warehouse</t>
  </si>
  <si>
    <t>MAHB0000616</t>
  </si>
  <si>
    <t>Pooja Golani</t>
  </si>
  <si>
    <t>APMPG0007N</t>
  </si>
  <si>
    <t>RADHE RADHE WAREHOUSE</t>
  </si>
  <si>
    <r>
      <t xml:space="preserve">izek.k i= </t>
    </r>
    <r>
      <rPr>
        <b/>
        <sz val="12"/>
        <color theme="1"/>
        <rFont val="Times New Roman"/>
        <family val="1"/>
      </rPr>
      <t>125000</t>
    </r>
  </si>
  <si>
    <t>073621</t>
  </si>
  <si>
    <t>952920110000379</t>
  </si>
  <si>
    <t>Mamta Verma W/O Devendra Verma</t>
  </si>
  <si>
    <t>BKID0009529</t>
  </si>
  <si>
    <t>Mamta Verma</t>
  </si>
  <si>
    <t>BDJPV2122F</t>
  </si>
  <si>
    <t>mamta warehouse</t>
  </si>
  <si>
    <t>07880200001647</t>
  </si>
  <si>
    <t>Mamta Warehouse</t>
  </si>
  <si>
    <t>Mamta Bai Patel</t>
  </si>
  <si>
    <t>GBJPP5209L</t>
  </si>
  <si>
    <t>163473</t>
  </si>
  <si>
    <t>951927220000002</t>
  </si>
  <si>
    <t>Gurleen Sales And Logistics</t>
  </si>
  <si>
    <t>BKID0009519</t>
  </si>
  <si>
    <t>SHRASTI WAREHOUSE</t>
  </si>
  <si>
    <r>
      <t xml:space="preserve">izek.k i= </t>
    </r>
    <r>
      <rPr>
        <b/>
        <sz val="12"/>
        <color theme="1"/>
        <rFont val="Times New Roman"/>
        <family val="1"/>
      </rPr>
      <t>50000</t>
    </r>
  </si>
  <si>
    <t>60411755391</t>
  </si>
  <si>
    <t>Shrasti Warehouse</t>
  </si>
  <si>
    <t>MAHB0000143</t>
  </si>
  <si>
    <t>Shital Bai Chouhan</t>
  </si>
  <si>
    <t>CENPC5322N</t>
  </si>
  <si>
    <t>NAYAN WAREHOUSE AND LOGISTICS</t>
  </si>
  <si>
    <t>094405007612</t>
  </si>
  <si>
    <t>Nayan Warehouse &amp; Logistic</t>
  </si>
  <si>
    <t>ICIC0000944</t>
  </si>
  <si>
    <t>Uma K Agrawal</t>
  </si>
  <si>
    <t>AGJPA7706N</t>
  </si>
  <si>
    <t>VERMA WAREHOUSE</t>
  </si>
  <si>
    <r>
      <t xml:space="preserve">izek.k i= </t>
    </r>
    <r>
      <rPr>
        <b/>
        <sz val="12"/>
        <color theme="1"/>
        <rFont val="Times New Roman"/>
        <family val="1"/>
      </rPr>
      <t>175000</t>
    </r>
  </si>
  <si>
    <t>952920110000378</t>
  </si>
  <si>
    <t>Devendra Verma S/O Kishori Lal Verma</t>
  </si>
  <si>
    <t>Devendra Verma</t>
  </si>
  <si>
    <t>AEDPV4837R</t>
  </si>
  <si>
    <t>Punasa</t>
  </si>
  <si>
    <t>manju patel warehouse</t>
  </si>
  <si>
    <t>953510110008916</t>
  </si>
  <si>
    <t>MANJU W/O PRITAM SINGH PATEL</t>
  </si>
  <si>
    <t>MANJU PATEL</t>
  </si>
  <si>
    <t>AQYPP3190Q</t>
  </si>
  <si>
    <t>seeds and grains india pvt ltd.</t>
  </si>
  <si>
    <t>SEEDS AND GRAINS INDIA PVT LTD</t>
  </si>
  <si>
    <t>Khargone</t>
  </si>
  <si>
    <t>Badwaha</t>
  </si>
  <si>
    <t>BANI WAREHOUSE</t>
  </si>
  <si>
    <t>01</t>
  </si>
  <si>
    <r>
      <rPr>
        <b/>
        <sz val="12"/>
        <color theme="1"/>
        <rFont val="Kruti Dev 010"/>
      </rPr>
      <t xml:space="preserve">izek.k i= </t>
    </r>
    <r>
      <rPr>
        <b/>
        <sz val="12"/>
        <color theme="1"/>
        <rFont val="Times New Roman"/>
        <family val="1"/>
      </rPr>
      <t>60000</t>
    </r>
  </si>
  <si>
    <t>573153
/087451</t>
  </si>
  <si>
    <t>285000
/285000</t>
  </si>
  <si>
    <t>120023742346</t>
  </si>
  <si>
    <t>Bani warehouse</t>
  </si>
  <si>
    <t>CNRB0005203</t>
  </si>
  <si>
    <t>Rajkumari Jat</t>
  </si>
  <si>
    <t>AXXPJ1165H</t>
  </si>
  <si>
    <r>
      <rPr>
        <sz val="14"/>
        <color theme="1"/>
        <rFont val="Kruti Dev 010"/>
      </rPr>
      <t xml:space="preserve">igys fn;s x;s psd esa </t>
    </r>
    <r>
      <rPr>
        <sz val="14"/>
        <color theme="1"/>
        <rFont val="Times New Roman"/>
        <family val="1"/>
      </rPr>
      <t>A/C No.</t>
    </r>
    <r>
      <rPr>
        <sz val="14"/>
        <color theme="1"/>
        <rFont val="Kruti Dev 010"/>
      </rPr>
      <t xml:space="preserve"> ugh gksus ds dkj.k nqljk psd fn;k x;k </t>
    </r>
    <r>
      <rPr>
        <sz val="14"/>
        <color theme="1"/>
        <rFont val="Times New Roman"/>
        <family val="1"/>
      </rPr>
      <t>(</t>
    </r>
    <r>
      <rPr>
        <sz val="14"/>
        <color theme="1"/>
        <rFont val="Kruti Dev 010"/>
      </rPr>
      <t>nks psd izIr gSa</t>
    </r>
    <r>
      <rPr>
        <sz val="14"/>
        <color theme="1"/>
        <rFont val="Times New Roman"/>
        <family val="1"/>
      </rPr>
      <t>)</t>
    </r>
  </si>
  <si>
    <t>ALEX 01</t>
  </si>
  <si>
    <t>578649</t>
  </si>
  <si>
    <t>201006432509</t>
  </si>
  <si>
    <t>Alex Commercial Pvt Ltd</t>
  </si>
  <si>
    <t xml:space="preserve"> Alex Commercial Pvt Ltd</t>
  </si>
  <si>
    <t>AAHCA4293P</t>
  </si>
  <si>
    <t>Bhikangaon</t>
  </si>
  <si>
    <t>Mahawar warehouse</t>
  </si>
  <si>
    <r>
      <rPr>
        <b/>
        <sz val="12"/>
        <color theme="1"/>
        <rFont val="Kruti Dev 010"/>
      </rPr>
      <t xml:space="preserve">izek.k i= </t>
    </r>
    <r>
      <rPr>
        <b/>
        <sz val="12"/>
        <color theme="1"/>
        <rFont val="Times New Roman"/>
        <family val="1"/>
      </rPr>
      <t>118800</t>
    </r>
  </si>
  <si>
    <t>38970200000269</t>
  </si>
  <si>
    <t>Mahavar Warehouse</t>
  </si>
  <si>
    <t>BARB0BHIKHA</t>
  </si>
  <si>
    <t>Renu Mahavar</t>
  </si>
  <si>
    <t>AQPPM9529F</t>
  </si>
  <si>
    <t>Rukmani Warehouse</t>
  </si>
  <si>
    <r>
      <rPr>
        <b/>
        <sz val="12"/>
        <color theme="1"/>
        <rFont val="Kruti Dev 010"/>
      </rPr>
      <t xml:space="preserve">izek.k i= </t>
    </r>
    <r>
      <rPr>
        <b/>
        <sz val="12"/>
        <color theme="1"/>
        <rFont val="Times New Roman"/>
        <family val="1"/>
      </rPr>
      <t>279800</t>
    </r>
  </si>
  <si>
    <t>000068</t>
  </si>
  <si>
    <t>38970200000305</t>
  </si>
  <si>
    <t>Rukhmai chouhan</t>
  </si>
  <si>
    <t>Rukmani Ramkishan chouhan</t>
  </si>
  <si>
    <t>ARMPC4184A</t>
  </si>
  <si>
    <t>NAKODA WAREHOUSE</t>
  </si>
  <si>
    <t>38970200000276</t>
  </si>
  <si>
    <t>RINKY JAIN</t>
  </si>
  <si>
    <t>BDRPJ7037B</t>
  </si>
  <si>
    <t>RISHABH WAREHOUSE</t>
  </si>
  <si>
    <t>39232614588</t>
  </si>
  <si>
    <t>SBIN0030033</t>
  </si>
  <si>
    <t>AJUPJ7683F</t>
  </si>
  <si>
    <t>VAIDEHI WAREHOUSE</t>
  </si>
  <si>
    <r>
      <rPr>
        <b/>
        <sz val="12"/>
        <color theme="1"/>
        <rFont val="Kruti Dev 010"/>
      </rPr>
      <t xml:space="preserve">izek.k i= </t>
    </r>
    <r>
      <rPr>
        <b/>
        <sz val="12"/>
        <color theme="1"/>
        <rFont val="Times New Roman"/>
        <family val="1"/>
      </rPr>
      <t>100000</t>
    </r>
  </si>
  <si>
    <t>38970200000281</t>
  </si>
  <si>
    <t>ANURADHA JAISWAL</t>
  </si>
  <si>
    <t>AIPPJ4159G</t>
  </si>
  <si>
    <t>Karhi</t>
  </si>
  <si>
    <t>Navkar Warehouse 31</t>
  </si>
  <si>
    <t>933368</t>
  </si>
  <si>
    <t>39178644999</t>
  </si>
  <si>
    <t>NAVKAR AGRITECH</t>
  </si>
  <si>
    <t>SBIN0030487</t>
  </si>
  <si>
    <t>LOKENDRA KUMAR CHAJED</t>
  </si>
  <si>
    <t>ACPPC3847E</t>
  </si>
  <si>
    <t>Navkar Warehouse 37</t>
  </si>
  <si>
    <t>933327</t>
  </si>
  <si>
    <t>KHANDELWAL WAREHOUSE</t>
  </si>
  <si>
    <t>100902</t>
  </si>
  <si>
    <t>682301010050163</t>
  </si>
  <si>
    <t>Khandelwal Warehouse</t>
  </si>
  <si>
    <t>UBIN0568236</t>
  </si>
  <si>
    <t>Archana Khandelwal</t>
  </si>
  <si>
    <t>APZPK9869D</t>
  </si>
  <si>
    <t>Aadim Jati Seva Sahakari Sanstha Katargaon</t>
  </si>
  <si>
    <t>062519</t>
  </si>
  <si>
    <t>Jila Sahakari Kendriya Bank Maryadit ,Khargone</t>
  </si>
  <si>
    <t>660039008404</t>
  </si>
  <si>
    <t xml:space="preserve">Adim Jati Sewa Sahkari Samiti Katargaon </t>
  </si>
  <si>
    <t>CBINOMPDCAS</t>
  </si>
  <si>
    <t>AAAJA0840N</t>
  </si>
  <si>
    <t>Kasrawad</t>
  </si>
  <si>
    <r>
      <rPr>
        <b/>
        <sz val="12"/>
        <color theme="1"/>
        <rFont val="Kruti Dev 010"/>
      </rPr>
      <t xml:space="preserve">izek.k i= </t>
    </r>
    <r>
      <rPr>
        <b/>
        <sz val="12"/>
        <color theme="1"/>
        <rFont val="Times New Roman"/>
        <family val="1"/>
      </rPr>
      <t>250000</t>
    </r>
  </si>
  <si>
    <t>000043</t>
  </si>
  <si>
    <t>54530100005252</t>
  </si>
  <si>
    <t>Dhanubai Rathore</t>
  </si>
  <si>
    <t>BARB0DHAMNO</t>
  </si>
  <si>
    <t>Rathore Dhanubai Karansingh</t>
  </si>
  <si>
    <t>ANJPR9777K</t>
  </si>
  <si>
    <t>MAA REWA WAREHOUSE</t>
  </si>
  <si>
    <t>ANITA RATHORE</t>
  </si>
  <si>
    <t>ANJPR9899Q</t>
  </si>
  <si>
    <t>075169</t>
  </si>
  <si>
    <t>3897208371</t>
  </si>
  <si>
    <t>Mamta Mahajan</t>
  </si>
  <si>
    <t>CBIN0282125</t>
  </si>
  <si>
    <t>MAMTA MAHAJAN</t>
  </si>
  <si>
    <t>APWPM2877A</t>
  </si>
  <si>
    <t>Mamta Warehouse RAJPURA</t>
  </si>
  <si>
    <t>075168</t>
  </si>
  <si>
    <t>Raghuvansh Warehouse</t>
  </si>
  <si>
    <t>G2</t>
  </si>
  <si>
    <t>000226</t>
  </si>
  <si>
    <t>29790200000500</t>
  </si>
  <si>
    <t>BARB0KHARGO</t>
  </si>
  <si>
    <t>SHAILA RAGHUVANSHI</t>
  </si>
  <si>
    <t>AGWPR9122Q</t>
  </si>
  <si>
    <t>ORACLE FOODS PRIVATE LIMITED</t>
  </si>
  <si>
    <r>
      <t xml:space="preserve">izek.k i= </t>
    </r>
    <r>
      <rPr>
        <b/>
        <sz val="12"/>
        <color theme="1"/>
        <rFont val="Times New Roman"/>
        <family val="1"/>
      </rPr>
      <t>662000</t>
    </r>
  </si>
  <si>
    <t>000743</t>
  </si>
  <si>
    <t>024105008672</t>
  </si>
  <si>
    <t>ICIC0000241</t>
  </si>
  <si>
    <t>AADCO3536D</t>
  </si>
  <si>
    <t>TIRUPATI BALAJI WAREHOUSE</t>
  </si>
  <si>
    <t>072266</t>
  </si>
  <si>
    <t>3896634399</t>
  </si>
  <si>
    <t>TIRUPATI BALAJU WAREHOUSE</t>
  </si>
  <si>
    <t>BHAWNA BADOLE</t>
  </si>
  <si>
    <t>AWEPB8964A</t>
  </si>
  <si>
    <t>Sai Dwarka Warehouse</t>
  </si>
  <si>
    <t>097929</t>
  </si>
  <si>
    <t>3631027220</t>
  </si>
  <si>
    <t>PARIKSHIT DASOUNDHI</t>
  </si>
  <si>
    <t>AWYPD3509P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</si>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</sst>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00"/>
  </numFmts>
  <fonts count="4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Kruti Dev 010"/>
    </font>
    <font>
      <b/>
      <sz val="12"/>
      <color theme="1"/>
      <name val="Kruti Dev 010"/>
    </font>
    <font>
      <sz val="12"/>
      <color theme="1"/>
      <name val="Times New Roman"/>
      <family val="1"/>
    </font>
    <font>
      <b/>
      <sz val="18"/>
      <color theme="1"/>
      <name val="Kruti Dev 010"/>
    </font>
    <font>
      <b/>
      <sz val="11"/>
      <color theme="1"/>
      <name val="Kruti Dev 010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70C0"/>
      <name val="Times New Roman"/>
      <family val="1"/>
    </font>
    <font>
      <sz val="12"/>
      <color theme="1"/>
      <name val="Times New Roman"/>
      <family val="2"/>
    </font>
    <font>
      <sz val="11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2"/>
      <color rgb="FF0070C0"/>
      <name val="Kruti Dev 010"/>
    </font>
    <font>
      <b/>
      <sz val="12"/>
      <name val="Calibri"/>
      <family val="2"/>
      <scheme val="minor"/>
    </font>
    <font>
      <b/>
      <sz val="16"/>
      <color theme="1"/>
      <name val="Kruti Dev 010"/>
    </font>
    <font>
      <b/>
      <sz val="12"/>
      <name val="Times New Roman"/>
      <family val="1"/>
    </font>
    <font>
      <sz val="10"/>
      <color theme="1"/>
      <name val="Times New Roman"/>
      <family val="1"/>
    </font>
    <font>
      <b/>
      <sz val="12"/>
      <color rgb="FF00B0F0"/>
      <name val="Times New Roman"/>
      <family val="1"/>
    </font>
    <font>
      <sz val="10"/>
      <name val="Times New Roman"/>
      <family val="1"/>
    </font>
    <font>
      <b/>
      <sz val="16"/>
      <color rgb="FFFF0000"/>
      <name val="Times New Roman"/>
      <family val="1"/>
    </font>
    <font>
      <b/>
      <sz val="14"/>
      <name val="Kruti Dev 010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11"/>
      <color rgb="FF0070C0"/>
      <name val="Times New Roman"/>
      <family val="1"/>
    </font>
    <font>
      <b/>
      <sz val="12"/>
      <color rgb="FFFF0000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sz val="8"/>
      <color theme="1"/>
      <name val="Times New Roman"/>
      <family val="1"/>
    </font>
    <font>
      <sz val="11"/>
      <color theme="1"/>
      <name val="Kruti Dev 010"/>
    </font>
    <font>
      <sz val="9"/>
      <color rgb="FF000000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Kruti Dev 010"/>
    </font>
    <font>
      <b/>
      <sz val="14"/>
      <color rgb="FFFF0000"/>
      <name val="Kruti Dev 010"/>
    </font>
    <font>
      <sz val="12"/>
      <color rgb="FF000000"/>
      <name val="Times New Roman"/>
      <family val="1"/>
    </font>
    <font>
      <sz val="11"/>
      <name val="Times New Roman"/>
      <family val="1"/>
    </font>
    <font>
      <sz val="14"/>
      <color theme="1"/>
      <name val="Calibri"/>
      <family val="2"/>
    </font>
    <font>
      <sz val="14"/>
      <color theme="1"/>
      <name val="Kruti Dev 010"/>
    </font>
    <font>
      <sz val="14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19CB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6" fillId="0" borderId="0"/>
  </cellStyleXfs>
  <cellXfs count="26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11" fillId="4" borderId="2" xfId="0" applyFont="1" applyFill="1" applyBorder="1" applyAlignment="1">
      <alignment horizontal="center" vertical="center" wrapText="1"/>
    </xf>
    <xf numFmtId="49" fontId="11" fillId="4" borderId="2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12" fillId="0" borderId="0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vertical="center" wrapText="1"/>
    </xf>
    <xf numFmtId="14" fontId="13" fillId="6" borderId="1" xfId="0" applyNumberFormat="1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right" vertical="center"/>
    </xf>
    <xf numFmtId="0" fontId="14" fillId="7" borderId="1" xfId="0" applyFont="1" applyFill="1" applyBorder="1" applyAlignment="1">
      <alignment horizontal="right" vertical="center"/>
    </xf>
    <xf numFmtId="1" fontId="3" fillId="6" borderId="1" xfId="0" applyNumberFormat="1" applyFont="1" applyFill="1" applyBorder="1" applyAlignment="1">
      <alignment horizontal="right" vertical="center"/>
    </xf>
    <xf numFmtId="0" fontId="15" fillId="7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 wrapText="1"/>
    </xf>
    <xf numFmtId="0" fontId="17" fillId="6" borderId="1" xfId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49" fontId="0" fillId="0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9" fillId="8" borderId="1" xfId="0" applyFont="1" applyFill="1" applyBorder="1" applyAlignment="1">
      <alignment horizontal="right" vertical="center" wrapText="1"/>
    </xf>
    <xf numFmtId="49" fontId="0" fillId="0" borderId="0" xfId="0" applyNumberFormat="1" applyFont="1" applyAlignment="1">
      <alignment horizontal="center" vertical="center"/>
    </xf>
    <xf numFmtId="0" fontId="20" fillId="9" borderId="5" xfId="0" applyFon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" fontId="3" fillId="6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49" fontId="11" fillId="10" borderId="2" xfId="0" applyNumberFormat="1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49" fontId="4" fillId="10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2" fillId="7" borderId="0" xfId="0" applyFont="1" applyFill="1" applyBorder="1" applyAlignment="1">
      <alignment vertical="center" wrapText="1"/>
    </xf>
    <xf numFmtId="0" fontId="12" fillId="7" borderId="3" xfId="0" applyFont="1" applyFill="1" applyBorder="1" applyAlignment="1">
      <alignment vertical="center" wrapText="1"/>
    </xf>
    <xf numFmtId="0" fontId="12" fillId="11" borderId="3" xfId="0" applyFont="1" applyFill="1" applyBorder="1" applyAlignment="1">
      <alignment vertical="center" wrapText="1"/>
    </xf>
    <xf numFmtId="0" fontId="1" fillId="11" borderId="3" xfId="0" applyFont="1" applyFill="1" applyBorder="1" applyAlignment="1">
      <alignment horizontal="right" vertical="center" wrapText="1"/>
    </xf>
    <xf numFmtId="14" fontId="12" fillId="7" borderId="3" xfId="0" applyNumberFormat="1" applyFont="1" applyFill="1" applyBorder="1" applyAlignment="1">
      <alignment vertical="center" wrapText="1"/>
    </xf>
    <xf numFmtId="14" fontId="22" fillId="6" borderId="1" xfId="0" applyNumberFormat="1" applyFont="1" applyFill="1" applyBorder="1" applyAlignment="1">
      <alignment horizontal="center" vertical="center" wrapText="1"/>
    </xf>
    <xf numFmtId="0" fontId="22" fillId="6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22" fillId="6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1" fontId="14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49" fontId="3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 wrapText="1"/>
    </xf>
    <xf numFmtId="49" fontId="7" fillId="6" borderId="1" xfId="0" applyNumberFormat="1" applyFont="1" applyFill="1" applyBorder="1" applyAlignment="1">
      <alignment horizontal="center" vertical="center"/>
    </xf>
    <xf numFmtId="49" fontId="23" fillId="6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2" fillId="7" borderId="1" xfId="0" applyFont="1" applyFill="1" applyBorder="1" applyAlignment="1">
      <alignment vertical="center" wrapText="1"/>
    </xf>
    <xf numFmtId="0" fontId="12" fillId="7" borderId="6" xfId="0" applyFont="1" applyFill="1" applyBorder="1" applyAlignment="1">
      <alignment vertical="center" wrapText="1"/>
    </xf>
    <xf numFmtId="14" fontId="12" fillId="7" borderId="1" xfId="0" applyNumberFormat="1" applyFont="1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7" fillId="6" borderId="1" xfId="1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12" fillId="0" borderId="1" xfId="0" applyFont="1" applyFill="1" applyBorder="1" applyAlignment="1">
      <alignment wrapText="1"/>
    </xf>
    <xf numFmtId="14" fontId="12" fillId="0" borderId="1" xfId="0" applyNumberFormat="1" applyFont="1" applyFill="1" applyBorder="1" applyAlignment="1">
      <alignment wrapText="1"/>
    </xf>
    <xf numFmtId="0" fontId="24" fillId="7" borderId="1" xfId="0" applyFont="1" applyFill="1" applyBorder="1" applyAlignment="1">
      <alignment horizontal="right" vertical="center"/>
    </xf>
    <xf numFmtId="49" fontId="22" fillId="6" borderId="1" xfId="0" applyNumberFormat="1" applyFont="1" applyFill="1" applyBorder="1" applyAlignment="1">
      <alignment horizontal="center" vertical="center"/>
    </xf>
    <xf numFmtId="1" fontId="22" fillId="6" borderId="1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25" fillId="6" borderId="1" xfId="1" applyFont="1" applyFill="1" applyBorder="1" applyAlignment="1">
      <alignment horizontal="center" vertical="center"/>
    </xf>
    <xf numFmtId="0" fontId="23" fillId="6" borderId="1" xfId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wrapText="1"/>
    </xf>
    <xf numFmtId="49" fontId="26" fillId="6" borderId="1" xfId="0" applyNumberFormat="1" applyFont="1" applyFill="1" applyBorder="1" applyAlignment="1">
      <alignment horizontal="center" vertical="center"/>
    </xf>
    <xf numFmtId="49" fontId="26" fillId="7" borderId="1" xfId="0" applyNumberFormat="1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right" vertical="center"/>
    </xf>
    <xf numFmtId="49" fontId="22" fillId="11" borderId="1" xfId="0" applyNumberFormat="1" applyFont="1" applyFill="1" applyBorder="1" applyAlignment="1">
      <alignment horizontal="center" vertical="center"/>
    </xf>
    <xf numFmtId="1" fontId="22" fillId="11" borderId="1" xfId="0" applyNumberFormat="1" applyFont="1" applyFill="1" applyBorder="1" applyAlignment="1">
      <alignment horizontal="right" vertical="center"/>
    </xf>
    <xf numFmtId="0" fontId="27" fillId="11" borderId="1" xfId="0" applyFont="1" applyFill="1" applyBorder="1" applyAlignment="1">
      <alignment horizontal="center" vertical="center"/>
    </xf>
    <xf numFmtId="0" fontId="17" fillId="6" borderId="1" xfId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wrapText="1"/>
    </xf>
    <xf numFmtId="0" fontId="12" fillId="7" borderId="6" xfId="0" applyFont="1" applyFill="1" applyBorder="1" applyAlignment="1">
      <alignment wrapText="1"/>
    </xf>
    <xf numFmtId="14" fontId="12" fillId="7" borderId="1" xfId="0" applyNumberFormat="1" applyFont="1" applyFill="1" applyBorder="1" applyAlignment="1">
      <alignment wrapText="1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49" fontId="7" fillId="0" borderId="0" xfId="0" applyNumberFormat="1" applyFont="1" applyFill="1" applyBorder="1" applyAlignment="1">
      <alignment horizontal="center" vertical="center"/>
    </xf>
    <xf numFmtId="1" fontId="7" fillId="0" borderId="0" xfId="0" applyNumberFormat="1" applyFont="1" applyFill="1" applyBorder="1" applyAlignment="1">
      <alignment horizontal="right" vertical="center"/>
    </xf>
    <xf numFmtId="49" fontId="0" fillId="0" borderId="0" xfId="0" applyNumberForma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30" fillId="6" borderId="1" xfId="0" applyNumberFormat="1" applyFont="1" applyFill="1" applyBorder="1" applyAlignment="1">
      <alignment horizontal="center" vertical="center" wrapText="1"/>
    </xf>
    <xf numFmtId="49" fontId="3" fillId="11" borderId="1" xfId="0" applyNumberFormat="1" applyFont="1" applyFill="1" applyBorder="1" applyAlignment="1">
      <alignment horizontal="center" vertical="center"/>
    </xf>
    <xf numFmtId="1" fontId="3" fillId="11" borderId="1" xfId="0" applyNumberFormat="1" applyFont="1" applyFill="1" applyBorder="1" applyAlignment="1">
      <alignment horizontal="right" vertical="center"/>
    </xf>
    <xf numFmtId="0" fontId="7" fillId="11" borderId="1" xfId="0" applyFont="1" applyFill="1" applyBorder="1" applyAlignment="1">
      <alignment horizontal="center" vertical="center"/>
    </xf>
    <xf numFmtId="49" fontId="3" fillId="11" borderId="1" xfId="0" applyNumberFormat="1" applyFont="1" applyFill="1" applyBorder="1" applyAlignment="1">
      <alignment horizontal="center" vertical="center" wrapText="1"/>
    </xf>
    <xf numFmtId="49" fontId="30" fillId="11" borderId="1" xfId="0" applyNumberFormat="1" applyFont="1" applyFill="1" applyBorder="1" applyAlignment="1">
      <alignment horizontal="center" vertical="center" wrapText="1"/>
    </xf>
    <xf numFmtId="49" fontId="7" fillId="11" borderId="1" xfId="0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right" vertical="center"/>
    </xf>
    <xf numFmtId="0" fontId="17" fillId="6" borderId="3" xfId="0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right" vertical="center" wrapText="1"/>
    </xf>
    <xf numFmtId="0" fontId="9" fillId="6" borderId="1" xfId="0" applyFont="1" applyFill="1" applyBorder="1" applyAlignment="1">
      <alignment horizontal="center" vertical="center" wrapText="1"/>
    </xf>
    <xf numFmtId="49" fontId="22" fillId="7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wrapText="1"/>
    </xf>
    <xf numFmtId="0" fontId="12" fillId="11" borderId="6" xfId="0" applyFont="1" applyFill="1" applyBorder="1" applyAlignment="1">
      <alignment wrapText="1"/>
    </xf>
    <xf numFmtId="0" fontId="5" fillId="11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 wrapText="1"/>
    </xf>
    <xf numFmtId="0" fontId="33" fillId="6" borderId="1" xfId="1" applyFont="1" applyFill="1" applyBorder="1" applyAlignment="1">
      <alignment horizontal="center" vertical="center"/>
    </xf>
    <xf numFmtId="1" fontId="22" fillId="7" borderId="1" xfId="0" applyNumberFormat="1" applyFont="1" applyFill="1" applyBorder="1" applyAlignment="1">
      <alignment horizontal="center" vertical="center"/>
    </xf>
    <xf numFmtId="1" fontId="22" fillId="7" borderId="1" xfId="0" applyNumberFormat="1" applyFont="1" applyFill="1" applyBorder="1" applyAlignment="1">
      <alignment horizontal="right" vertical="center"/>
    </xf>
    <xf numFmtId="1" fontId="34" fillId="7" borderId="1" xfId="0" applyNumberFormat="1" applyFont="1" applyFill="1" applyBorder="1" applyAlignment="1">
      <alignment horizontal="right" vertical="center"/>
    </xf>
    <xf numFmtId="1" fontId="34" fillId="6" borderId="1" xfId="0" applyNumberFormat="1" applyFont="1" applyFill="1" applyBorder="1" applyAlignment="1">
      <alignment horizontal="right" vertical="center"/>
    </xf>
    <xf numFmtId="1" fontId="33" fillId="6" borderId="1" xfId="0" applyNumberFormat="1" applyFont="1" applyFill="1" applyBorder="1" applyAlignment="1">
      <alignment horizontal="center" vertical="center"/>
    </xf>
    <xf numFmtId="0" fontId="35" fillId="6" borderId="1" xfId="1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49" fontId="7" fillId="6" borderId="6" xfId="0" applyNumberFormat="1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0" fontId="0" fillId="11" borderId="0" xfId="0" applyFill="1"/>
    <xf numFmtId="0" fontId="3" fillId="7" borderId="1" xfId="0" applyFont="1" applyFill="1" applyBorder="1" applyAlignment="1">
      <alignment horizontal="right" vertical="center"/>
    </xf>
    <xf numFmtId="0" fontId="38" fillId="7" borderId="1" xfId="0" applyFont="1" applyFill="1" applyBorder="1" applyAlignment="1">
      <alignment horizontal="center" vertical="center"/>
    </xf>
    <xf numFmtId="0" fontId="35" fillId="6" borderId="3" xfId="0" applyFont="1" applyFill="1" applyBorder="1" applyAlignment="1">
      <alignment horizontal="center" vertical="center" wrapText="1"/>
    </xf>
    <xf numFmtId="0" fontId="30" fillId="6" borderId="1" xfId="1" applyFont="1" applyFill="1" applyBorder="1" applyAlignment="1">
      <alignment horizontal="center" vertical="center" wrapText="1"/>
    </xf>
    <xf numFmtId="14" fontId="13" fillId="6" borderId="7" xfId="0" applyNumberFormat="1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/>
    </xf>
    <xf numFmtId="1" fontId="3" fillId="6" borderId="7" xfId="0" applyNumberFormat="1" applyFont="1" applyFill="1" applyBorder="1" applyAlignment="1">
      <alignment horizontal="center" vertical="center"/>
    </xf>
    <xf numFmtId="164" fontId="3" fillId="6" borderId="7" xfId="0" applyNumberFormat="1" applyFont="1" applyFill="1" applyBorder="1" applyAlignment="1">
      <alignment horizontal="center" vertical="center"/>
    </xf>
    <xf numFmtId="16" fontId="3" fillId="6" borderId="7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right" vertical="center"/>
    </xf>
    <xf numFmtId="0" fontId="14" fillId="7" borderId="7" xfId="0" applyFont="1" applyFill="1" applyBorder="1" applyAlignment="1">
      <alignment horizontal="right" vertical="center"/>
    </xf>
    <xf numFmtId="1" fontId="3" fillId="6" borderId="7" xfId="0" applyNumberFormat="1" applyFont="1" applyFill="1" applyBorder="1" applyAlignment="1">
      <alignment horizontal="right" vertical="center"/>
    </xf>
    <xf numFmtId="0" fontId="15" fillId="7" borderId="7" xfId="0" applyFont="1" applyFill="1" applyBorder="1" applyAlignment="1">
      <alignment horizontal="right" vertical="center"/>
    </xf>
    <xf numFmtId="49" fontId="22" fillId="7" borderId="7" xfId="0" applyNumberFormat="1" applyFont="1" applyFill="1" applyBorder="1" applyAlignment="1">
      <alignment horizontal="center" vertical="center"/>
    </xf>
    <xf numFmtId="1" fontId="22" fillId="7" borderId="7" xfId="0" applyNumberFormat="1" applyFont="1" applyFill="1" applyBorder="1" applyAlignment="1">
      <alignment horizontal="right" vertical="center"/>
    </xf>
    <xf numFmtId="0" fontId="38" fillId="7" borderId="7" xfId="0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 wrapText="1"/>
    </xf>
    <xf numFmtId="49" fontId="7" fillId="6" borderId="7" xfId="0" applyNumberFormat="1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17" fillId="6" borderId="7" xfId="1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1" fontId="39" fillId="7" borderId="1" xfId="0" applyNumberFormat="1" applyFont="1" applyFill="1" applyBorder="1" applyAlignment="1">
      <alignment horizontal="center" vertical="center" wrapText="1"/>
    </xf>
    <xf numFmtId="1" fontId="33" fillId="6" borderId="1" xfId="0" applyNumberFormat="1" applyFont="1" applyFill="1" applyBorder="1" applyAlignment="1">
      <alignment horizontal="center" vertical="center" wrapText="1"/>
    </xf>
    <xf numFmtId="0" fontId="30" fillId="6" borderId="1" xfId="1" applyFont="1" applyFill="1" applyBorder="1" applyAlignment="1">
      <alignment horizontal="center" vertical="center"/>
    </xf>
    <xf numFmtId="0" fontId="40" fillId="6" borderId="1" xfId="0" applyFont="1" applyFill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/>
    </xf>
    <xf numFmtId="49" fontId="40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0" fillId="0" borderId="3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" fontId="34" fillId="7" borderId="1" xfId="0" applyNumberFormat="1" applyFont="1" applyFill="1" applyBorder="1" applyAlignment="1">
      <alignment horizontal="center" vertical="center"/>
    </xf>
    <xf numFmtId="1" fontId="34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39" fillId="7" borderId="1" xfId="0" applyFont="1" applyFill="1" applyBorder="1" applyAlignment="1">
      <alignment horizontal="center" vertical="center"/>
    </xf>
    <xf numFmtId="0" fontId="23" fillId="6" borderId="1" xfId="1" applyFont="1" applyFill="1" applyBorder="1" applyAlignment="1">
      <alignment horizontal="center" vertical="center" wrapText="1"/>
    </xf>
    <xf numFmtId="0" fontId="42" fillId="6" borderId="1" xfId="0" applyFont="1" applyFill="1" applyBorder="1" applyAlignment="1">
      <alignment horizontal="center" vertical="center"/>
    </xf>
    <xf numFmtId="0" fontId="33" fillId="6" borderId="1" xfId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" fontId="14" fillId="0" borderId="1" xfId="0" applyNumberFormat="1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right" vertical="center"/>
    </xf>
    <xf numFmtId="1" fontId="3" fillId="0" borderId="1" xfId="0" applyNumberFormat="1" applyFont="1" applyFill="1" applyBorder="1" applyAlignment="1">
      <alignment horizontal="right" vertical="center"/>
    </xf>
    <xf numFmtId="0" fontId="15" fillId="0" borderId="1" xfId="0" applyFont="1" applyFill="1" applyBorder="1" applyAlignment="1">
      <alignment horizontal="right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33" fillId="0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0" fillId="7" borderId="0" xfId="0" applyFill="1"/>
    <xf numFmtId="2" fontId="3" fillId="0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/>
    </xf>
    <xf numFmtId="0" fontId="7" fillId="0" borderId="3" xfId="0" applyFont="1" applyFill="1" applyBorder="1" applyAlignment="1">
      <alignment horizontal="center" vertical="center" wrapText="1"/>
    </xf>
    <xf numFmtId="0" fontId="33" fillId="0" borderId="1" xfId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wrapText="1"/>
    </xf>
    <xf numFmtId="0" fontId="3" fillId="11" borderId="1" xfId="0" applyFont="1" applyFill="1" applyBorder="1" applyAlignment="1">
      <alignment horizontal="right" vertical="center"/>
    </xf>
    <xf numFmtId="0" fontId="15" fillId="11" borderId="1" xfId="0" applyFont="1" applyFill="1" applyBorder="1" applyAlignment="1">
      <alignment horizontal="right" vertical="center"/>
    </xf>
    <xf numFmtId="0" fontId="33" fillId="6" borderId="1" xfId="0" applyFont="1" applyFill="1" applyBorder="1" applyAlignment="1">
      <alignment horizontal="center" vertical="center"/>
    </xf>
    <xf numFmtId="49" fontId="33" fillId="6" borderId="1" xfId="0" applyNumberFormat="1" applyFont="1" applyFill="1" applyBorder="1" applyAlignment="1">
      <alignment horizontal="center" vertical="center"/>
    </xf>
    <xf numFmtId="49" fontId="17" fillId="6" borderId="1" xfId="0" applyNumberFormat="1" applyFont="1" applyFill="1" applyBorder="1" applyAlignment="1">
      <alignment horizontal="center" vertical="center"/>
    </xf>
    <xf numFmtId="14" fontId="13" fillId="12" borderId="1" xfId="0" applyNumberFormat="1" applyFont="1" applyFill="1" applyBorder="1" applyAlignment="1">
      <alignment horizontal="center" vertical="center" wrapText="1"/>
    </xf>
    <xf numFmtId="1" fontId="22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 applyAlignment="1">
      <alignment horizontal="right" vertical="center"/>
    </xf>
    <xf numFmtId="49" fontId="33" fillId="6" borderId="1" xfId="0" applyNumberFormat="1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/>
    </xf>
    <xf numFmtId="0" fontId="43" fillId="6" borderId="10" xfId="0" applyFont="1" applyFill="1" applyBorder="1" applyAlignment="1">
      <alignment horizontal="center" vertical="center" wrapText="1"/>
    </xf>
    <xf numFmtId="49" fontId="23" fillId="6" borderId="1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 wrapText="1"/>
    </xf>
    <xf numFmtId="0" fontId="44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1" fontId="3" fillId="6" borderId="2" xfId="0" applyNumberFormat="1" applyFont="1" applyFill="1" applyBorder="1" applyAlignment="1">
      <alignment horizontal="right" vertical="center"/>
    </xf>
    <xf numFmtId="0" fontId="15" fillId="7" borderId="2" xfId="0" applyFont="1" applyFill="1" applyBorder="1" applyAlignment="1">
      <alignment horizontal="right" vertical="center"/>
    </xf>
    <xf numFmtId="0" fontId="44" fillId="6" borderId="1" xfId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65" fontId="43" fillId="0" borderId="1" xfId="0" applyNumberFormat="1" applyFont="1" applyFill="1" applyBorder="1" applyAlignment="1">
      <alignment vertical="center" wrapText="1"/>
    </xf>
    <xf numFmtId="14" fontId="43" fillId="0" borderId="1" xfId="0" applyNumberFormat="1" applyFont="1" applyFill="1" applyBorder="1" applyAlignment="1">
      <alignment vertical="center" wrapText="1"/>
    </xf>
    <xf numFmtId="0" fontId="27" fillId="7" borderId="1" xfId="0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right" vertical="center" wrapText="1"/>
    </xf>
    <xf numFmtId="0" fontId="45" fillId="7" borderId="0" xfId="0" applyFont="1" applyFill="1" applyAlignment="1">
      <alignment vertical="center"/>
    </xf>
    <xf numFmtId="0" fontId="3" fillId="7" borderId="1" xfId="0" applyFont="1" applyFill="1" applyBorder="1" applyAlignment="1">
      <alignment horizontal="center" vertical="center" wrapText="1"/>
    </xf>
    <xf numFmtId="0" fontId="33" fillId="6" borderId="3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right" vertical="center"/>
    </xf>
    <xf numFmtId="0" fontId="33" fillId="7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right" vertical="center"/>
    </xf>
    <xf numFmtId="0" fontId="23" fillId="6" borderId="1" xfId="0" applyFont="1" applyFill="1" applyBorder="1" applyAlignment="1">
      <alignment horizontal="center" vertical="center" wrapText="1"/>
    </xf>
    <xf numFmtId="0" fontId="25" fillId="6" borderId="1" xfId="1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wrapText="1"/>
    </xf>
    <xf numFmtId="0" fontId="12" fillId="0" borderId="11" xfId="0" applyFont="1" applyFill="1" applyBorder="1" applyAlignment="1">
      <alignment wrapText="1"/>
    </xf>
    <xf numFmtId="0" fontId="34" fillId="6" borderId="1" xfId="0" applyFont="1" applyFill="1" applyBorder="1" applyAlignment="1">
      <alignment horizontal="center" vertical="center"/>
    </xf>
    <xf numFmtId="14" fontId="13" fillId="0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49" fontId="22" fillId="0" borderId="1" xfId="0" applyNumberFormat="1" applyFont="1" applyFill="1" applyBorder="1" applyAlignment="1">
      <alignment horizontal="center" vertical="center"/>
    </xf>
    <xf numFmtId="1" fontId="22" fillId="0" borderId="1" xfId="0" applyNumberFormat="1" applyFont="1" applyFill="1" applyBorder="1" applyAlignment="1">
      <alignment horizontal="right" vertical="center"/>
    </xf>
    <xf numFmtId="0" fontId="34" fillId="0" borderId="1" xfId="0" applyFont="1" applyFill="1" applyBorder="1" applyAlignment="1">
      <alignment horizontal="center" vertical="center"/>
    </xf>
    <xf numFmtId="0" fontId="17" fillId="0" borderId="1" xfId="1" applyFont="1" applyFill="1" applyBorder="1" applyAlignment="1">
      <alignment horizontal="center" vertical="center"/>
    </xf>
    <xf numFmtId="0" fontId="12" fillId="0" borderId="3" xfId="0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17" fillId="0" borderId="1" xfId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right" vertical="center"/>
    </xf>
  </cellXfs>
  <cellStyles count="2">
    <cellStyle name="Normal" xfId="0" builtinId="0"/>
    <cellStyle name="Normal 2 19" xfId="1" xr:uid="{330C8211-FF79-4F2D-A8C4-4C608EE044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9943-2925-491A-9987-B5B2E82383E7}">
  <dimension ref="A1:T16"/>
  <sheetViews>
    <sheetView zoomScale="84" zoomScaleNormal="84" workbookViewId="0">
      <selection activeCell="D14" sqref="D14"/>
    </sheetView>
  </sheetViews>
  <sheetFormatPr defaultRowHeight="15.75" x14ac:dyDescent="0.25"/>
  <cols>
    <col min="1" max="1" width="5.140625" style="1" customWidth="1"/>
    <col min="2" max="2" width="10.7109375" style="2" customWidth="1"/>
    <col min="3" max="3" width="11.42578125" style="2" customWidth="1"/>
    <col min="4" max="4" width="35.42578125" style="3" customWidth="1"/>
    <col min="5" max="5" width="7.140625" style="2" customWidth="1"/>
    <col min="6" max="6" width="6.42578125" style="1" customWidth="1"/>
    <col min="7" max="7" width="11.42578125" style="1" customWidth="1"/>
    <col min="8" max="8" width="9.7109375" style="5" customWidth="1"/>
    <col min="9" max="9" width="11.42578125" style="49" customWidth="1"/>
    <col min="10" max="10" width="9.140625" style="1" customWidth="1"/>
    <col min="11" max="11" width="9.7109375" style="1" customWidth="1"/>
    <col min="12" max="12" width="12.28515625" style="50" customWidth="1"/>
    <col min="13" max="13" width="11.140625" style="9" customWidth="1"/>
    <col min="14" max="15" width="11.7109375" style="9" customWidth="1"/>
    <col min="16" max="16" width="12.85546875" style="9" customWidth="1"/>
    <col min="17" max="17" width="10.5703125" style="9" customWidth="1"/>
    <col min="18" max="18" width="11.42578125" style="9" customWidth="1"/>
    <col min="19" max="19" width="20.42578125" style="1" customWidth="1"/>
    <col min="20" max="20" width="16.28515625" style="10" customWidth="1"/>
  </cols>
  <sheetData>
    <row r="1" spans="1:20" ht="36.75" customHeight="1" x14ac:dyDescent="0.25">
      <c r="E1" s="4" t="s">
        <v>0</v>
      </c>
      <c r="F1" s="5" t="s">
        <v>1</v>
      </c>
      <c r="G1" s="5"/>
      <c r="H1" s="4"/>
      <c r="I1" s="5"/>
      <c r="K1" s="6" t="s">
        <v>2</v>
      </c>
      <c r="L1" s="7" t="s">
        <v>3</v>
      </c>
      <c r="M1" s="8" t="s">
        <v>4</v>
      </c>
      <c r="N1" s="9">
        <v>50</v>
      </c>
    </row>
    <row r="2" spans="1:20" ht="76.5" customHeight="1" x14ac:dyDescent="0.25">
      <c r="A2" s="11" t="s">
        <v>5</v>
      </c>
      <c r="B2" s="12" t="s">
        <v>6</v>
      </c>
      <c r="C2" s="12" t="s">
        <v>7</v>
      </c>
      <c r="D2" s="13" t="s">
        <v>8</v>
      </c>
      <c r="E2" s="14" t="s">
        <v>9</v>
      </c>
      <c r="F2" s="15" t="s">
        <v>10</v>
      </c>
      <c r="G2" s="16" t="s">
        <v>11</v>
      </c>
      <c r="H2" s="16" t="s">
        <v>12</v>
      </c>
      <c r="I2" s="16" t="s">
        <v>13</v>
      </c>
      <c r="J2" s="15" t="s">
        <v>14</v>
      </c>
      <c r="K2" s="17" t="s">
        <v>15</v>
      </c>
      <c r="L2" s="18" t="s">
        <v>16</v>
      </c>
      <c r="M2" s="19" t="s">
        <v>17</v>
      </c>
      <c r="N2" s="19" t="s">
        <v>18</v>
      </c>
      <c r="O2" s="19" t="s">
        <v>19</v>
      </c>
      <c r="P2" s="20" t="s">
        <v>20</v>
      </c>
      <c r="Q2" s="20" t="s">
        <v>21</v>
      </c>
      <c r="R2" s="20" t="s">
        <v>22</v>
      </c>
      <c r="S2" s="21" t="s">
        <v>23</v>
      </c>
      <c r="T2" s="22" t="s">
        <v>24</v>
      </c>
    </row>
    <row r="3" spans="1:20" s="40" customFormat="1" ht="61.5" customHeight="1" x14ac:dyDescent="0.25">
      <c r="A3" s="24"/>
      <c r="B3" s="25" t="s">
        <v>25</v>
      </c>
      <c r="C3" s="25" t="s">
        <v>25</v>
      </c>
      <c r="D3" s="25" t="s">
        <v>26</v>
      </c>
      <c r="E3" s="26" t="s">
        <v>27</v>
      </c>
      <c r="F3" s="27">
        <v>76</v>
      </c>
      <c r="G3" s="28">
        <v>4485</v>
      </c>
      <c r="H3" s="29">
        <v>4485</v>
      </c>
      <c r="I3" s="30">
        <v>45783</v>
      </c>
      <c r="J3" s="31">
        <v>8</v>
      </c>
      <c r="K3" s="32" t="s">
        <v>2</v>
      </c>
      <c r="L3" s="33" t="s">
        <v>4</v>
      </c>
      <c r="M3" s="34">
        <f>H3*50</f>
        <v>224250</v>
      </c>
      <c r="N3" s="35">
        <v>224250</v>
      </c>
      <c r="O3" s="34">
        <f>M3-N3</f>
        <v>0</v>
      </c>
      <c r="P3" s="36">
        <f>G3*F3/2</f>
        <v>170430</v>
      </c>
      <c r="Q3" s="37">
        <v>170430</v>
      </c>
      <c r="R3" s="36">
        <f t="shared" ref="R3" si="0">P3-Q3</f>
        <v>0</v>
      </c>
      <c r="S3" s="38" t="s">
        <v>28</v>
      </c>
      <c r="T3" s="39" t="s">
        <v>29</v>
      </c>
    </row>
    <row r="4" spans="1:20" s="23" customFormat="1" x14ac:dyDescent="0.25">
      <c r="A4" s="41"/>
      <c r="B4" s="42"/>
      <c r="C4" s="42"/>
      <c r="D4" s="43"/>
      <c r="E4" s="42"/>
      <c r="F4" s="41"/>
      <c r="G4" s="41"/>
      <c r="H4" s="44"/>
      <c r="I4" s="45"/>
      <c r="J4" s="41"/>
      <c r="K4" s="41"/>
      <c r="L4" s="46"/>
      <c r="M4" s="47"/>
      <c r="N4" s="47"/>
      <c r="O4" s="47"/>
      <c r="P4" s="47"/>
      <c r="Q4" s="47"/>
      <c r="R4" s="47"/>
      <c r="S4" s="41"/>
      <c r="T4" s="48"/>
    </row>
    <row r="5" spans="1:20" s="23" customFormat="1" x14ac:dyDescent="0.25">
      <c r="A5" s="41"/>
      <c r="B5" s="42"/>
      <c r="C5" s="42"/>
      <c r="D5" s="43"/>
      <c r="E5" s="42"/>
      <c r="F5" s="41"/>
      <c r="G5" s="41"/>
      <c r="H5" s="44"/>
      <c r="I5" s="45"/>
      <c r="J5" s="41"/>
      <c r="K5" s="41"/>
      <c r="L5" s="46"/>
      <c r="M5" s="47"/>
      <c r="N5" s="47"/>
      <c r="O5" s="47"/>
      <c r="P5" s="47"/>
      <c r="Q5" s="47"/>
      <c r="R5" s="47"/>
      <c r="S5" s="41"/>
      <c r="T5" s="48"/>
    </row>
    <row r="6" spans="1:20" s="23" customFormat="1" x14ac:dyDescent="0.25">
      <c r="A6" s="41"/>
      <c r="B6" s="42"/>
      <c r="C6" s="42"/>
      <c r="D6" s="43"/>
      <c r="E6" s="42"/>
      <c r="F6" s="41"/>
      <c r="G6" s="41"/>
      <c r="H6" s="44"/>
      <c r="I6" s="45"/>
      <c r="J6" s="41"/>
      <c r="K6" s="41"/>
      <c r="L6" s="46"/>
      <c r="M6" s="47"/>
      <c r="N6" s="47"/>
      <c r="O6" s="47"/>
      <c r="P6" s="47"/>
      <c r="Q6" s="47"/>
      <c r="R6" s="47"/>
      <c r="S6" s="48"/>
      <c r="T6" s="48"/>
    </row>
    <row r="7" spans="1:20" s="23" customFormat="1" x14ac:dyDescent="0.25">
      <c r="A7" s="41"/>
      <c r="B7" s="42"/>
      <c r="C7" s="42"/>
      <c r="D7" s="43"/>
      <c r="E7" s="42"/>
      <c r="F7" s="41"/>
      <c r="G7" s="41"/>
      <c r="H7" s="44"/>
      <c r="I7" s="45"/>
      <c r="J7" s="41"/>
      <c r="K7" s="41"/>
      <c r="L7" s="46"/>
      <c r="M7" s="47"/>
      <c r="N7" s="47"/>
      <c r="O7" s="47"/>
      <c r="P7" s="47"/>
      <c r="Q7" s="47"/>
      <c r="R7" s="47"/>
      <c r="S7" s="48"/>
      <c r="T7" s="48"/>
    </row>
    <row r="8" spans="1:20" s="23" customFormat="1" x14ac:dyDescent="0.25">
      <c r="A8" s="41"/>
      <c r="B8" s="42"/>
      <c r="C8" s="42"/>
      <c r="D8" s="43"/>
      <c r="E8" s="42"/>
      <c r="F8" s="41"/>
      <c r="G8" s="41"/>
      <c r="H8" s="44"/>
      <c r="I8" s="45"/>
      <c r="J8" s="41"/>
      <c r="K8" s="41"/>
      <c r="L8" s="46"/>
      <c r="M8" s="47"/>
      <c r="N8" s="47"/>
      <c r="O8" s="47"/>
      <c r="P8" s="47"/>
      <c r="Q8" s="47"/>
      <c r="R8" s="47"/>
      <c r="S8" s="48"/>
      <c r="T8" s="48"/>
    </row>
    <row r="9" spans="1:20" s="23" customFormat="1" x14ac:dyDescent="0.25">
      <c r="A9" s="41"/>
      <c r="B9" s="42"/>
      <c r="C9" s="42"/>
      <c r="D9" s="43"/>
      <c r="E9" s="42"/>
      <c r="F9" s="41"/>
      <c r="G9" s="41"/>
      <c r="H9" s="44"/>
      <c r="I9" s="45"/>
      <c r="J9" s="41"/>
      <c r="K9" s="41"/>
      <c r="L9" s="46"/>
      <c r="M9" s="47"/>
      <c r="N9" s="47"/>
      <c r="O9" s="47"/>
      <c r="P9" s="47"/>
      <c r="Q9" s="47"/>
      <c r="R9" s="47"/>
      <c r="S9" s="48"/>
      <c r="T9" s="48"/>
    </row>
    <row r="10" spans="1:20" s="23" customFormat="1" x14ac:dyDescent="0.25">
      <c r="A10" s="41"/>
      <c r="B10" s="42"/>
      <c r="C10" s="42"/>
      <c r="D10" s="43"/>
      <c r="E10" s="42"/>
      <c r="F10" s="41"/>
      <c r="G10" s="41"/>
      <c r="H10" s="44"/>
      <c r="I10" s="45"/>
      <c r="J10" s="41"/>
      <c r="K10" s="41"/>
      <c r="L10" s="46"/>
      <c r="M10" s="47"/>
      <c r="N10" s="47"/>
      <c r="O10" s="47"/>
      <c r="P10" s="47"/>
      <c r="Q10" s="47"/>
      <c r="R10" s="47"/>
      <c r="S10" s="48"/>
      <c r="T10" s="48"/>
    </row>
    <row r="11" spans="1:20" s="23" customFormat="1" x14ac:dyDescent="0.25">
      <c r="A11" s="41"/>
      <c r="B11" s="42"/>
      <c r="C11" s="42"/>
      <c r="D11" s="43"/>
      <c r="E11" s="42"/>
      <c r="F11" s="41"/>
      <c r="G11" s="41"/>
      <c r="H11" s="44"/>
      <c r="I11" s="45"/>
      <c r="J11" s="41"/>
      <c r="K11" s="41"/>
      <c r="L11" s="46"/>
      <c r="M11" s="47"/>
      <c r="N11" s="47"/>
      <c r="O11" s="47"/>
      <c r="P11" s="47"/>
      <c r="Q11" s="47"/>
      <c r="R11" s="47"/>
      <c r="S11" s="41"/>
      <c r="T11" s="48"/>
    </row>
    <row r="12" spans="1:20" s="23" customFormat="1" x14ac:dyDescent="0.25">
      <c r="A12" s="41"/>
      <c r="B12" s="42"/>
      <c r="C12" s="42"/>
      <c r="D12" s="43"/>
      <c r="E12" s="42"/>
      <c r="F12" s="41"/>
      <c r="G12" s="41"/>
      <c r="H12" s="44"/>
      <c r="I12" s="45"/>
      <c r="J12" s="41"/>
      <c r="K12" s="41"/>
      <c r="L12" s="46"/>
      <c r="M12" s="47"/>
      <c r="N12" s="47"/>
      <c r="O12" s="47"/>
      <c r="P12" s="47"/>
      <c r="Q12" s="47"/>
      <c r="R12" s="47"/>
      <c r="S12" s="41"/>
      <c r="T12" s="48"/>
    </row>
    <row r="13" spans="1:20" s="23" customFormat="1" x14ac:dyDescent="0.25">
      <c r="A13" s="41"/>
      <c r="B13" s="42"/>
      <c r="C13" s="42"/>
      <c r="D13" s="43"/>
      <c r="E13" s="42"/>
      <c r="F13" s="41"/>
      <c r="G13" s="41"/>
      <c r="H13" s="44"/>
      <c r="I13" s="45"/>
      <c r="J13" s="41"/>
      <c r="K13" s="41"/>
      <c r="L13" s="46"/>
      <c r="M13" s="47"/>
      <c r="N13" s="47"/>
      <c r="O13" s="47"/>
      <c r="P13" s="47"/>
      <c r="Q13" s="47"/>
      <c r="R13" s="47"/>
      <c r="S13" s="41"/>
      <c r="T13" s="48"/>
    </row>
    <row r="14" spans="1:20" s="23" customFormat="1" x14ac:dyDescent="0.25">
      <c r="A14" s="41"/>
      <c r="B14" s="42"/>
      <c r="C14" s="42"/>
      <c r="D14" s="43"/>
      <c r="E14" s="42"/>
      <c r="F14" s="41"/>
      <c r="G14" s="41"/>
      <c r="H14" s="44"/>
      <c r="I14" s="45"/>
      <c r="J14" s="41"/>
      <c r="K14" s="41"/>
      <c r="L14" s="46"/>
      <c r="M14" s="47"/>
      <c r="N14" s="47"/>
      <c r="O14" s="47"/>
      <c r="P14" s="47"/>
      <c r="Q14" s="47"/>
      <c r="R14" s="47"/>
      <c r="S14" s="41"/>
      <c r="T14" s="48"/>
    </row>
    <row r="15" spans="1:20" s="23" customFormat="1" x14ac:dyDescent="0.25">
      <c r="A15" s="41"/>
      <c r="B15" s="42"/>
      <c r="C15" s="42"/>
      <c r="D15" s="43"/>
      <c r="E15" s="42"/>
      <c r="F15" s="41"/>
      <c r="G15" s="41"/>
      <c r="H15" s="44"/>
      <c r="I15" s="45"/>
      <c r="J15" s="41"/>
      <c r="K15" s="41"/>
      <c r="L15" s="46"/>
      <c r="M15" s="47"/>
      <c r="N15" s="47"/>
      <c r="O15" s="47"/>
      <c r="P15" s="47"/>
      <c r="Q15" s="47"/>
      <c r="R15" s="47"/>
      <c r="S15" s="41"/>
      <c r="T15" s="48"/>
    </row>
    <row r="16" spans="1:20" s="23" customFormat="1" x14ac:dyDescent="0.25">
      <c r="A16" s="41"/>
      <c r="B16" s="42"/>
      <c r="C16" s="42"/>
      <c r="D16" s="43"/>
      <c r="E16" s="42"/>
      <c r="F16" s="41"/>
      <c r="G16" s="41"/>
      <c r="H16" s="44"/>
      <c r="I16" s="45"/>
      <c r="J16" s="41"/>
      <c r="K16" s="41"/>
      <c r="L16" s="46"/>
      <c r="M16" s="47"/>
      <c r="N16" s="47"/>
      <c r="O16" s="47"/>
      <c r="P16" s="47"/>
      <c r="Q16" s="47"/>
      <c r="R16" s="47"/>
      <c r="S16" s="41"/>
      <c r="T16" s="48"/>
    </row>
  </sheetData>
  <pageMargins left="0.11811023622047245" right="0.11811023622047245" top="0.15748031496062992" bottom="0.15748031496062992" header="0.11811023622047245" footer="0.11811023622047245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D6F1-D318-4FF3-91C3-E36A5F14565A}">
  <dimension ref="A1:BB163"/>
  <sheetViews>
    <sheetView tabSelected="1" zoomScale="84" zoomScaleNormal="84" workbookViewId="0">
      <selection activeCell="G160" sqref="G160"/>
    </sheetView>
  </sheetViews>
  <sheetFormatPr defaultRowHeight="15.75" x14ac:dyDescent="0.25"/>
  <cols>
    <col min="1" max="1" width="5.140625" style="1" customWidth="1"/>
    <col min="2" max="2" width="10.7109375" style="2" customWidth="1"/>
    <col min="3" max="3" width="11.42578125" style="2" customWidth="1"/>
    <col min="4" max="4" width="35.42578125" style="3" customWidth="1"/>
    <col min="5" max="6" width="12.140625" style="2" customWidth="1"/>
    <col min="7" max="7" width="7.140625" style="2" customWidth="1"/>
    <col min="8" max="8" width="6.42578125" style="1" customWidth="1"/>
    <col min="9" max="9" width="9.7109375" style="5" customWidth="1"/>
    <col min="10" max="10" width="11.42578125" style="49" customWidth="1"/>
    <col min="11" max="12" width="9.7109375" style="1" customWidth="1"/>
    <col min="13" max="13" width="12.28515625" style="50" customWidth="1"/>
    <col min="14" max="14" width="11.140625" style="9" customWidth="1"/>
    <col min="15" max="16" width="11.7109375" style="9" customWidth="1"/>
    <col min="17" max="17" width="10.85546875" style="9" customWidth="1"/>
    <col min="18" max="18" width="10.5703125" style="9" customWidth="1"/>
    <col min="19" max="19" width="11.42578125" style="9" customWidth="1"/>
    <col min="20" max="20" width="10.140625" style="267" customWidth="1"/>
    <col min="21" max="21" width="11.85546875" style="268" customWidth="1"/>
    <col min="22" max="22" width="21" style="1" customWidth="1"/>
    <col min="23" max="23" width="21.5703125" style="10" customWidth="1"/>
    <col min="24" max="24" width="22.28515625" style="1" customWidth="1"/>
    <col min="25" max="25" width="20.140625" style="52" customWidth="1"/>
    <col min="26" max="26" width="21.28515625" style="1" customWidth="1"/>
    <col min="27" max="27" width="21.5703125" style="1" customWidth="1"/>
    <col min="28" max="28" width="16.28515625" style="10" customWidth="1"/>
    <col min="29" max="29" width="9.85546875" style="1" customWidth="1"/>
    <col min="30" max="30" width="11.85546875" style="1" customWidth="1"/>
    <col min="31" max="34" width="9.140625" customWidth="1"/>
  </cols>
  <sheetData>
    <row r="1" spans="1:33" ht="31.5" x14ac:dyDescent="0.25">
      <c r="F1" s="4"/>
      <c r="G1" s="4" t="s">
        <v>30</v>
      </c>
      <c r="H1" s="5" t="s">
        <v>31</v>
      </c>
      <c r="I1" s="4" t="s">
        <v>32</v>
      </c>
      <c r="J1" s="5" t="s">
        <v>33</v>
      </c>
      <c r="L1" s="6" t="s">
        <v>2</v>
      </c>
      <c r="M1" s="7" t="s">
        <v>3</v>
      </c>
      <c r="N1" s="8" t="s">
        <v>4</v>
      </c>
      <c r="O1" s="9">
        <v>50</v>
      </c>
      <c r="R1" s="51" t="s">
        <v>34</v>
      </c>
      <c r="T1" s="10"/>
      <c r="U1" s="10"/>
      <c r="V1" s="10"/>
    </row>
    <row r="2" spans="1:33" ht="76.5" customHeight="1" x14ac:dyDescent="0.25">
      <c r="A2" s="11" t="s">
        <v>5</v>
      </c>
      <c r="B2" s="12" t="s">
        <v>6</v>
      </c>
      <c r="C2" s="12" t="s">
        <v>7</v>
      </c>
      <c r="D2" s="13" t="s">
        <v>8</v>
      </c>
      <c r="E2" s="53" t="s">
        <v>35</v>
      </c>
      <c r="F2" s="53" t="s">
        <v>36</v>
      </c>
      <c r="G2" s="14" t="s">
        <v>9</v>
      </c>
      <c r="H2" s="15" t="s">
        <v>10</v>
      </c>
      <c r="I2" s="16" t="s">
        <v>12</v>
      </c>
      <c r="J2" s="16" t="s">
        <v>13</v>
      </c>
      <c r="K2" s="15" t="s">
        <v>14</v>
      </c>
      <c r="L2" s="17" t="s">
        <v>15</v>
      </c>
      <c r="M2" s="18" t="s">
        <v>16</v>
      </c>
      <c r="N2" s="19" t="s">
        <v>17</v>
      </c>
      <c r="O2" s="19" t="s">
        <v>18</v>
      </c>
      <c r="P2" s="19" t="s">
        <v>19</v>
      </c>
      <c r="Q2" s="20" t="s">
        <v>20</v>
      </c>
      <c r="R2" s="20" t="s">
        <v>21</v>
      </c>
      <c r="S2" s="20" t="s">
        <v>22</v>
      </c>
      <c r="T2" s="54" t="s">
        <v>37</v>
      </c>
      <c r="U2" s="55" t="s">
        <v>38</v>
      </c>
      <c r="V2" s="56" t="s">
        <v>39</v>
      </c>
      <c r="W2" s="57" t="s">
        <v>40</v>
      </c>
      <c r="X2" s="58" t="s">
        <v>41</v>
      </c>
      <c r="Y2" s="59" t="s">
        <v>42</v>
      </c>
      <c r="Z2" s="58" t="s">
        <v>39</v>
      </c>
      <c r="AA2" s="21" t="s">
        <v>23</v>
      </c>
      <c r="AB2" s="22" t="s">
        <v>24</v>
      </c>
      <c r="AC2" s="60" t="s">
        <v>43</v>
      </c>
      <c r="AD2" s="61" t="s">
        <v>44</v>
      </c>
      <c r="AG2" s="51" t="s">
        <v>34</v>
      </c>
    </row>
    <row r="3" spans="1:33" s="40" customFormat="1" ht="31.5" customHeight="1" x14ac:dyDescent="0.25">
      <c r="A3" s="62"/>
      <c r="B3" s="63" t="s">
        <v>25</v>
      </c>
      <c r="C3" s="63" t="s">
        <v>25</v>
      </c>
      <c r="D3" s="64" t="s">
        <v>45</v>
      </c>
      <c r="E3" s="65" t="s">
        <v>46</v>
      </c>
      <c r="F3" s="66">
        <v>45347</v>
      </c>
      <c r="G3" s="67" t="s">
        <v>27</v>
      </c>
      <c r="H3" s="68">
        <v>74</v>
      </c>
      <c r="I3" s="69">
        <v>4125</v>
      </c>
      <c r="J3" s="70">
        <v>45362</v>
      </c>
      <c r="K3" s="71">
        <v>10</v>
      </c>
      <c r="L3" s="32" t="s">
        <v>2</v>
      </c>
      <c r="M3" s="32" t="s">
        <v>4</v>
      </c>
      <c r="N3" s="72">
        <f>I3*50</f>
        <v>206250</v>
      </c>
      <c r="O3" s="35">
        <v>206250</v>
      </c>
      <c r="P3" s="73">
        <f t="shared" ref="P3:P8" si="0">N3-O3</f>
        <v>0</v>
      </c>
      <c r="Q3" s="36">
        <f>I3*H3/2</f>
        <v>152625</v>
      </c>
      <c r="R3" s="37">
        <v>152625</v>
      </c>
      <c r="S3" s="36">
        <f>Q3-R3</f>
        <v>0</v>
      </c>
      <c r="T3" s="74" t="s">
        <v>47</v>
      </c>
      <c r="U3" s="36">
        <v>1072500</v>
      </c>
      <c r="V3" s="75" t="s">
        <v>48</v>
      </c>
      <c r="W3" s="74" t="s">
        <v>49</v>
      </c>
      <c r="X3" s="76" t="s">
        <v>50</v>
      </c>
      <c r="Y3" s="77" t="s">
        <v>51</v>
      </c>
      <c r="Z3" s="75" t="s">
        <v>48</v>
      </c>
      <c r="AA3" s="78" t="s">
        <v>52</v>
      </c>
      <c r="AB3" s="77" t="s">
        <v>53</v>
      </c>
      <c r="AC3" s="79"/>
      <c r="AD3" s="79"/>
    </row>
    <row r="4" spans="1:33" s="84" customFormat="1" ht="18.75" customHeight="1" x14ac:dyDescent="0.25">
      <c r="A4" s="80">
        <v>8</v>
      </c>
      <c r="B4" s="80" t="s">
        <v>25</v>
      </c>
      <c r="C4" s="80" t="s">
        <v>25</v>
      </c>
      <c r="D4" s="81" t="s">
        <v>54</v>
      </c>
      <c r="E4" s="80">
        <v>2531.25</v>
      </c>
      <c r="F4" s="82">
        <v>45366</v>
      </c>
      <c r="G4" s="67" t="s">
        <v>27</v>
      </c>
      <c r="H4" s="68">
        <v>74</v>
      </c>
      <c r="I4" s="71">
        <v>2531</v>
      </c>
      <c r="J4" s="70">
        <v>45379</v>
      </c>
      <c r="K4" s="71">
        <v>5</v>
      </c>
      <c r="L4" s="32" t="s">
        <v>55</v>
      </c>
      <c r="M4" s="32" t="s">
        <v>4</v>
      </c>
      <c r="N4" s="72">
        <f>I4*50</f>
        <v>126550</v>
      </c>
      <c r="O4" s="35">
        <v>0</v>
      </c>
      <c r="P4" s="73">
        <f t="shared" si="0"/>
        <v>126550</v>
      </c>
      <c r="Q4" s="36">
        <f>I4*H4/2</f>
        <v>93647</v>
      </c>
      <c r="R4" s="37">
        <v>0</v>
      </c>
      <c r="S4" s="36">
        <f>Q4-R4</f>
        <v>93647</v>
      </c>
      <c r="T4" s="74" t="s">
        <v>56</v>
      </c>
      <c r="U4" s="36">
        <v>658060</v>
      </c>
      <c r="V4" s="75" t="s">
        <v>57</v>
      </c>
      <c r="W4" s="74" t="s">
        <v>58</v>
      </c>
      <c r="X4" s="77" t="s">
        <v>59</v>
      </c>
      <c r="Y4" s="77" t="s">
        <v>60</v>
      </c>
      <c r="Z4" s="75" t="s">
        <v>57</v>
      </c>
      <c r="AA4" s="77" t="s">
        <v>59</v>
      </c>
      <c r="AB4" s="77" t="s">
        <v>61</v>
      </c>
      <c r="AC4" s="83"/>
      <c r="AD4" s="83"/>
    </row>
    <row r="5" spans="1:33" s="84" customFormat="1" ht="25.5" customHeight="1" x14ac:dyDescent="0.25">
      <c r="A5" s="80">
        <v>9</v>
      </c>
      <c r="B5" s="80" t="s">
        <v>25</v>
      </c>
      <c r="C5" s="80" t="s">
        <v>25</v>
      </c>
      <c r="D5" s="81" t="s">
        <v>62</v>
      </c>
      <c r="E5" s="80">
        <v>4125</v>
      </c>
      <c r="F5" s="82">
        <v>45369</v>
      </c>
      <c r="G5" s="26" t="s">
        <v>27</v>
      </c>
      <c r="H5" s="27">
        <v>74</v>
      </c>
      <c r="I5" s="29">
        <v>4125</v>
      </c>
      <c r="J5" s="30">
        <v>45379</v>
      </c>
      <c r="K5" s="31">
        <v>1</v>
      </c>
      <c r="L5" s="32" t="s">
        <v>2</v>
      </c>
      <c r="M5" s="32" t="s">
        <v>4</v>
      </c>
      <c r="N5" s="72">
        <f>I5*50</f>
        <v>206250</v>
      </c>
      <c r="O5" s="35">
        <v>0</v>
      </c>
      <c r="P5" s="73">
        <f t="shared" si="0"/>
        <v>206250</v>
      </c>
      <c r="Q5" s="36">
        <f>I5*H5/2</f>
        <v>152625</v>
      </c>
      <c r="R5" s="37">
        <v>0</v>
      </c>
      <c r="S5" s="36">
        <f>Q5-R5</f>
        <v>152625</v>
      </c>
      <c r="T5" s="74" t="s">
        <v>63</v>
      </c>
      <c r="U5" s="36">
        <v>1072500</v>
      </c>
      <c r="V5" s="75" t="s">
        <v>48</v>
      </c>
      <c r="W5" s="74" t="s">
        <v>64</v>
      </c>
      <c r="X5" s="77" t="s">
        <v>65</v>
      </c>
      <c r="Y5" s="77" t="s">
        <v>66</v>
      </c>
      <c r="Z5" s="75" t="s">
        <v>48</v>
      </c>
      <c r="AA5" s="77" t="s">
        <v>65</v>
      </c>
      <c r="AB5" s="85" t="s">
        <v>67</v>
      </c>
      <c r="AC5" s="83"/>
      <c r="AD5" s="83"/>
    </row>
    <row r="6" spans="1:33" s="84" customFormat="1" ht="31.5" customHeight="1" x14ac:dyDescent="0.25">
      <c r="A6" s="80">
        <v>10</v>
      </c>
      <c r="B6" s="80" t="s">
        <v>25</v>
      </c>
      <c r="C6" s="80" t="s">
        <v>25</v>
      </c>
      <c r="D6" s="81" t="s">
        <v>68</v>
      </c>
      <c r="E6" s="80">
        <v>5610.94</v>
      </c>
      <c r="F6" s="82">
        <v>45371</v>
      </c>
      <c r="G6" s="86" t="s">
        <v>69</v>
      </c>
      <c r="H6" s="27">
        <v>79</v>
      </c>
      <c r="I6" s="31">
        <v>5506</v>
      </c>
      <c r="J6" s="30">
        <v>45378</v>
      </c>
      <c r="K6" s="31">
        <v>6</v>
      </c>
      <c r="L6" s="32" t="s">
        <v>55</v>
      </c>
      <c r="M6" s="87" t="s">
        <v>70</v>
      </c>
      <c r="N6" s="72"/>
      <c r="O6" s="35">
        <v>0</v>
      </c>
      <c r="P6" s="34">
        <f t="shared" si="0"/>
        <v>0</v>
      </c>
      <c r="Q6" s="36">
        <f>I6*H6/2</f>
        <v>217487</v>
      </c>
      <c r="R6" s="37">
        <f>152036+65451</f>
        <v>217487</v>
      </c>
      <c r="S6" s="36">
        <f>Q6-R6</f>
        <v>0</v>
      </c>
      <c r="T6" s="74" t="s">
        <v>71</v>
      </c>
      <c r="U6" s="36">
        <v>1458600</v>
      </c>
      <c r="V6" s="75" t="s">
        <v>48</v>
      </c>
      <c r="W6" s="74" t="s">
        <v>72</v>
      </c>
      <c r="X6" s="76" t="s">
        <v>73</v>
      </c>
      <c r="Y6" s="77" t="s">
        <v>74</v>
      </c>
      <c r="Z6" s="75" t="s">
        <v>48</v>
      </c>
      <c r="AA6" s="75" t="s">
        <v>75</v>
      </c>
      <c r="AB6" s="77" t="s">
        <v>76</v>
      </c>
      <c r="AC6" s="83"/>
      <c r="AD6" s="83"/>
    </row>
    <row r="7" spans="1:33" ht="31.5" customHeight="1" x14ac:dyDescent="0.25">
      <c r="A7" s="88">
        <v>11</v>
      </c>
      <c r="B7" s="88" t="s">
        <v>77</v>
      </c>
      <c r="C7" s="88" t="s">
        <v>78</v>
      </c>
      <c r="D7" s="89" t="s">
        <v>79</v>
      </c>
      <c r="E7" s="90">
        <v>7166.25</v>
      </c>
      <c r="F7" s="91">
        <v>45371</v>
      </c>
      <c r="G7" s="26" t="s">
        <v>69</v>
      </c>
      <c r="H7" s="27">
        <v>79</v>
      </c>
      <c r="I7" s="29">
        <v>1754.85</v>
      </c>
      <c r="J7" s="30">
        <v>45372</v>
      </c>
      <c r="K7" s="31">
        <v>38</v>
      </c>
      <c r="L7" s="32" t="s">
        <v>2</v>
      </c>
      <c r="M7" s="87" t="s">
        <v>80</v>
      </c>
      <c r="N7" s="34">
        <v>87743</v>
      </c>
      <c r="O7" s="92">
        <v>87743</v>
      </c>
      <c r="P7" s="34">
        <f t="shared" si="0"/>
        <v>0</v>
      </c>
      <c r="Q7" s="36">
        <f t="shared" ref="Q7:Q8" si="1">I7*H7/2</f>
        <v>69316.574999999997</v>
      </c>
      <c r="R7" s="37">
        <v>69317</v>
      </c>
      <c r="S7" s="36">
        <f t="shared" ref="S7:S8" si="2">Q7-R7</f>
        <v>-0.42500000000291038</v>
      </c>
      <c r="T7" s="93" t="s">
        <v>81</v>
      </c>
      <c r="U7" s="94" t="s">
        <v>82</v>
      </c>
      <c r="V7" s="75" t="s">
        <v>83</v>
      </c>
      <c r="W7" s="74" t="s">
        <v>84</v>
      </c>
      <c r="X7" s="95" t="s">
        <v>79</v>
      </c>
      <c r="Y7" s="77" t="s">
        <v>85</v>
      </c>
      <c r="Z7" s="75" t="s">
        <v>83</v>
      </c>
      <c r="AA7" s="96" t="s">
        <v>86</v>
      </c>
      <c r="AB7" s="97" t="s">
        <v>87</v>
      </c>
      <c r="AC7" s="83"/>
      <c r="AD7" s="83"/>
    </row>
    <row r="8" spans="1:33" ht="78.75" customHeight="1" x14ac:dyDescent="0.25">
      <c r="A8" s="90">
        <v>12</v>
      </c>
      <c r="B8" s="90" t="s">
        <v>77</v>
      </c>
      <c r="C8" s="90" t="s">
        <v>78</v>
      </c>
      <c r="D8" s="98" t="s">
        <v>88</v>
      </c>
      <c r="E8" s="90">
        <v>6055.29</v>
      </c>
      <c r="F8" s="91">
        <v>45377</v>
      </c>
      <c r="G8" s="26" t="s">
        <v>69</v>
      </c>
      <c r="H8" s="27">
        <v>79</v>
      </c>
      <c r="I8" s="29">
        <v>876.15</v>
      </c>
      <c r="J8" s="30">
        <v>45372</v>
      </c>
      <c r="K8" s="31">
        <v>44</v>
      </c>
      <c r="L8" s="32" t="s">
        <v>2</v>
      </c>
      <c r="M8" s="87" t="s">
        <v>80</v>
      </c>
      <c r="N8" s="34">
        <v>43807</v>
      </c>
      <c r="O8" s="92">
        <v>43807</v>
      </c>
      <c r="P8" s="34">
        <f t="shared" si="0"/>
        <v>0</v>
      </c>
      <c r="Q8" s="36">
        <f t="shared" si="1"/>
        <v>34607.924999999996</v>
      </c>
      <c r="R8" s="37">
        <v>34608</v>
      </c>
      <c r="S8" s="36">
        <f t="shared" si="2"/>
        <v>-7.5000000004365575E-2</v>
      </c>
      <c r="T8" s="93" t="s">
        <v>89</v>
      </c>
      <c r="U8" s="94" t="s">
        <v>82</v>
      </c>
      <c r="V8" s="75" t="s">
        <v>90</v>
      </c>
      <c r="W8" s="74" t="s">
        <v>91</v>
      </c>
      <c r="X8" s="95" t="s">
        <v>92</v>
      </c>
      <c r="Y8" s="77" t="s">
        <v>93</v>
      </c>
      <c r="Z8" s="75" t="s">
        <v>90</v>
      </c>
      <c r="AA8" s="95" t="s">
        <v>92</v>
      </c>
      <c r="AB8" s="39" t="s">
        <v>94</v>
      </c>
      <c r="AC8" s="83"/>
      <c r="AD8" s="83"/>
    </row>
    <row r="9" spans="1:33" ht="31.5" customHeight="1" x14ac:dyDescent="0.25">
      <c r="A9" s="90">
        <v>14</v>
      </c>
      <c r="B9" s="90" t="s">
        <v>77</v>
      </c>
      <c r="C9" s="90" t="s">
        <v>78</v>
      </c>
      <c r="D9" s="98" t="s">
        <v>95</v>
      </c>
      <c r="E9" s="90">
        <v>3150</v>
      </c>
      <c r="F9" s="91">
        <v>45404</v>
      </c>
      <c r="G9" s="26" t="s">
        <v>27</v>
      </c>
      <c r="H9" s="27">
        <v>49</v>
      </c>
      <c r="I9" s="29">
        <v>3150</v>
      </c>
      <c r="J9" s="30">
        <v>45372</v>
      </c>
      <c r="K9" s="31">
        <v>26</v>
      </c>
      <c r="L9" s="32" t="s">
        <v>2</v>
      </c>
      <c r="M9" s="99" t="s">
        <v>96</v>
      </c>
      <c r="N9" s="99" t="s">
        <v>96</v>
      </c>
      <c r="O9" s="100" t="s">
        <v>96</v>
      </c>
      <c r="P9" s="99" t="s">
        <v>96</v>
      </c>
      <c r="Q9" s="99" t="s">
        <v>96</v>
      </c>
      <c r="R9" s="100" t="s">
        <v>96</v>
      </c>
      <c r="S9" s="99" t="s">
        <v>96</v>
      </c>
      <c r="T9" s="99" t="s">
        <v>96</v>
      </c>
      <c r="U9" s="99" t="s">
        <v>96</v>
      </c>
      <c r="V9" s="99" t="s">
        <v>96</v>
      </c>
      <c r="W9" s="74" t="s">
        <v>97</v>
      </c>
      <c r="X9" s="76" t="s">
        <v>98</v>
      </c>
      <c r="Y9" s="77" t="s">
        <v>99</v>
      </c>
      <c r="Z9" s="75" t="s">
        <v>48</v>
      </c>
      <c r="AA9" s="76" t="s">
        <v>100</v>
      </c>
      <c r="AB9" s="85" t="s">
        <v>101</v>
      </c>
      <c r="AC9" s="83"/>
      <c r="AD9" s="83"/>
    </row>
    <row r="10" spans="1:33" ht="47.25" customHeight="1" x14ac:dyDescent="0.25">
      <c r="A10" s="88">
        <v>15</v>
      </c>
      <c r="B10" s="88" t="s">
        <v>77</v>
      </c>
      <c r="C10" s="88" t="s">
        <v>78</v>
      </c>
      <c r="D10" s="89" t="s">
        <v>102</v>
      </c>
      <c r="E10" s="90">
        <v>5625</v>
      </c>
      <c r="F10" s="91">
        <v>45367</v>
      </c>
      <c r="G10" s="26" t="s">
        <v>27</v>
      </c>
      <c r="H10" s="27">
        <v>49</v>
      </c>
      <c r="I10" s="29">
        <v>2396.35</v>
      </c>
      <c r="J10" s="30">
        <v>45371</v>
      </c>
      <c r="K10" s="31">
        <v>43</v>
      </c>
      <c r="L10" s="32" t="s">
        <v>2</v>
      </c>
      <c r="M10" s="99" t="s">
        <v>96</v>
      </c>
      <c r="N10" s="99" t="s">
        <v>96</v>
      </c>
      <c r="O10" s="100" t="s">
        <v>96</v>
      </c>
      <c r="P10" s="99" t="s">
        <v>96</v>
      </c>
      <c r="Q10" s="99" t="s">
        <v>96</v>
      </c>
      <c r="R10" s="100" t="s">
        <v>96</v>
      </c>
      <c r="S10" s="99" t="s">
        <v>96</v>
      </c>
      <c r="T10" s="99" t="s">
        <v>96</v>
      </c>
      <c r="U10" s="99" t="s">
        <v>96</v>
      </c>
      <c r="V10" s="99" t="s">
        <v>96</v>
      </c>
      <c r="W10" s="74" t="s">
        <v>103</v>
      </c>
      <c r="X10" s="76" t="s">
        <v>104</v>
      </c>
      <c r="Y10" s="77" t="s">
        <v>105</v>
      </c>
      <c r="Z10" s="75" t="s">
        <v>106</v>
      </c>
      <c r="AA10" s="76" t="s">
        <v>107</v>
      </c>
      <c r="AB10" s="85" t="s">
        <v>108</v>
      </c>
      <c r="AC10" s="83"/>
      <c r="AD10" s="83"/>
    </row>
    <row r="11" spans="1:33" ht="31.5" customHeight="1" x14ac:dyDescent="0.25">
      <c r="A11" s="90">
        <v>16</v>
      </c>
      <c r="B11" s="90" t="s">
        <v>77</v>
      </c>
      <c r="C11" s="90" t="s">
        <v>78</v>
      </c>
      <c r="D11" s="98" t="s">
        <v>109</v>
      </c>
      <c r="E11" s="90">
        <v>2137.56</v>
      </c>
      <c r="F11" s="91">
        <v>45366</v>
      </c>
      <c r="G11" s="26" t="s">
        <v>27</v>
      </c>
      <c r="H11" s="27">
        <v>49</v>
      </c>
      <c r="I11" s="29">
        <v>962.37400000000002</v>
      </c>
      <c r="J11" s="30">
        <v>45372</v>
      </c>
      <c r="K11" s="31">
        <v>13</v>
      </c>
      <c r="L11" s="32" t="s">
        <v>2</v>
      </c>
      <c r="M11" s="99" t="s">
        <v>96</v>
      </c>
      <c r="N11" s="99" t="s">
        <v>96</v>
      </c>
      <c r="O11" s="100" t="s">
        <v>96</v>
      </c>
      <c r="P11" s="99" t="s">
        <v>96</v>
      </c>
      <c r="Q11" s="99" t="s">
        <v>96</v>
      </c>
      <c r="R11" s="100" t="s">
        <v>96</v>
      </c>
      <c r="S11" s="99" t="s">
        <v>96</v>
      </c>
      <c r="T11" s="99" t="s">
        <v>96</v>
      </c>
      <c r="U11" s="99" t="s">
        <v>96</v>
      </c>
      <c r="V11" s="99" t="s">
        <v>96</v>
      </c>
      <c r="W11" s="74" t="s">
        <v>110</v>
      </c>
      <c r="X11" s="76" t="s">
        <v>111</v>
      </c>
      <c r="Y11" s="77" t="s">
        <v>112</v>
      </c>
      <c r="Z11" s="75" t="s">
        <v>48</v>
      </c>
      <c r="AA11" s="76" t="s">
        <v>113</v>
      </c>
      <c r="AB11" s="85" t="s">
        <v>114</v>
      </c>
      <c r="AC11" s="83"/>
      <c r="AD11" s="83"/>
    </row>
    <row r="12" spans="1:33" ht="31.5" customHeight="1" x14ac:dyDescent="0.25">
      <c r="A12" s="88">
        <v>17</v>
      </c>
      <c r="B12" s="88" t="s">
        <v>77</v>
      </c>
      <c r="C12" s="88" t="s">
        <v>78</v>
      </c>
      <c r="D12" s="89" t="s">
        <v>115</v>
      </c>
      <c r="E12" s="90">
        <v>3281.25</v>
      </c>
      <c r="F12" s="91">
        <v>45366</v>
      </c>
      <c r="G12" s="26" t="s">
        <v>27</v>
      </c>
      <c r="H12" s="27">
        <v>49</v>
      </c>
      <c r="I12" s="29">
        <v>2348.4499999999998</v>
      </c>
      <c r="J12" s="30">
        <v>45372</v>
      </c>
      <c r="K12" s="31">
        <v>41</v>
      </c>
      <c r="L12" s="32" t="s">
        <v>2</v>
      </c>
      <c r="M12" s="99" t="s">
        <v>96</v>
      </c>
      <c r="N12" s="99" t="s">
        <v>96</v>
      </c>
      <c r="O12" s="100" t="s">
        <v>96</v>
      </c>
      <c r="P12" s="99" t="s">
        <v>96</v>
      </c>
      <c r="Q12" s="99" t="s">
        <v>96</v>
      </c>
      <c r="R12" s="100" t="s">
        <v>96</v>
      </c>
      <c r="S12" s="99" t="s">
        <v>96</v>
      </c>
      <c r="T12" s="99" t="s">
        <v>96</v>
      </c>
      <c r="U12" s="99" t="s">
        <v>96</v>
      </c>
      <c r="V12" s="99" t="s">
        <v>96</v>
      </c>
      <c r="W12" s="74" t="s">
        <v>116</v>
      </c>
      <c r="X12" s="76" t="s">
        <v>117</v>
      </c>
      <c r="Y12" s="77" t="s">
        <v>118</v>
      </c>
      <c r="Z12" s="75" t="s">
        <v>57</v>
      </c>
      <c r="AA12" s="96" t="s">
        <v>119</v>
      </c>
      <c r="AB12" s="85" t="s">
        <v>120</v>
      </c>
      <c r="AC12" s="83"/>
      <c r="AD12" s="83"/>
    </row>
    <row r="13" spans="1:33" ht="31.5" customHeight="1" x14ac:dyDescent="0.25">
      <c r="A13" s="90">
        <v>18</v>
      </c>
      <c r="B13" s="90" t="s">
        <v>77</v>
      </c>
      <c r="C13" s="90" t="s">
        <v>78</v>
      </c>
      <c r="D13" s="98" t="s">
        <v>121</v>
      </c>
      <c r="E13" s="90">
        <v>6487.5</v>
      </c>
      <c r="F13" s="91">
        <v>45366</v>
      </c>
      <c r="G13" s="26" t="s">
        <v>69</v>
      </c>
      <c r="H13" s="27">
        <v>79</v>
      </c>
      <c r="I13" s="29">
        <v>3328.1</v>
      </c>
      <c r="J13" s="30">
        <v>45372</v>
      </c>
      <c r="K13" s="31">
        <v>42</v>
      </c>
      <c r="L13" s="32" t="s">
        <v>55</v>
      </c>
      <c r="M13" s="87" t="s">
        <v>80</v>
      </c>
      <c r="N13" s="34">
        <v>166405</v>
      </c>
      <c r="O13" s="92">
        <v>166405</v>
      </c>
      <c r="P13" s="34">
        <f>N13-O13</f>
        <v>0</v>
      </c>
      <c r="Q13" s="36">
        <f t="shared" ref="Q13" si="3">I13*H13/2</f>
        <v>131459.94999999998</v>
      </c>
      <c r="R13" s="37">
        <v>131460</v>
      </c>
      <c r="S13" s="36">
        <f t="shared" ref="S13" si="4">Q13-R13</f>
        <v>-5.0000000017462298E-2</v>
      </c>
      <c r="T13" s="93" t="s">
        <v>122</v>
      </c>
      <c r="U13" s="94" t="s">
        <v>82</v>
      </c>
      <c r="V13" s="75" t="s">
        <v>123</v>
      </c>
      <c r="W13" s="74" t="s">
        <v>124</v>
      </c>
      <c r="X13" s="95" t="s">
        <v>125</v>
      </c>
      <c r="Y13" s="77" t="s">
        <v>126</v>
      </c>
      <c r="Z13" s="75" t="s">
        <v>123</v>
      </c>
      <c r="AA13" s="101" t="s">
        <v>127</v>
      </c>
      <c r="AB13" s="39" t="s">
        <v>128</v>
      </c>
      <c r="AC13" s="83"/>
      <c r="AD13" s="83"/>
    </row>
    <row r="14" spans="1:33" ht="47.25" customHeight="1" x14ac:dyDescent="0.25">
      <c r="A14" s="88">
        <v>19</v>
      </c>
      <c r="B14" s="88" t="s">
        <v>77</v>
      </c>
      <c r="C14" s="88" t="s">
        <v>78</v>
      </c>
      <c r="D14" s="89" t="s">
        <v>129</v>
      </c>
      <c r="E14" s="90">
        <v>3400.09</v>
      </c>
      <c r="F14" s="91">
        <v>45366</v>
      </c>
      <c r="G14" s="26" t="s">
        <v>27</v>
      </c>
      <c r="H14" s="27">
        <v>49</v>
      </c>
      <c r="I14" s="29">
        <v>3145.65</v>
      </c>
      <c r="J14" s="30">
        <v>45372</v>
      </c>
      <c r="K14" s="31">
        <v>12</v>
      </c>
      <c r="L14" s="32" t="s">
        <v>2</v>
      </c>
      <c r="M14" s="99" t="s">
        <v>96</v>
      </c>
      <c r="N14" s="99" t="s">
        <v>96</v>
      </c>
      <c r="O14" s="100" t="s">
        <v>96</v>
      </c>
      <c r="P14" s="99" t="s">
        <v>96</v>
      </c>
      <c r="Q14" s="99" t="s">
        <v>96</v>
      </c>
      <c r="R14" s="100" t="s">
        <v>96</v>
      </c>
      <c r="S14" s="99" t="s">
        <v>96</v>
      </c>
      <c r="T14" s="99" t="s">
        <v>96</v>
      </c>
      <c r="U14" s="99" t="s">
        <v>96</v>
      </c>
      <c r="V14" s="99" t="s">
        <v>96</v>
      </c>
      <c r="W14" s="74" t="s">
        <v>130</v>
      </c>
      <c r="X14" s="76" t="s">
        <v>131</v>
      </c>
      <c r="Y14" s="77" t="s">
        <v>112</v>
      </c>
      <c r="Z14" s="75" t="s">
        <v>132</v>
      </c>
      <c r="AA14" s="76" t="s">
        <v>131</v>
      </c>
      <c r="AB14" s="85" t="s">
        <v>133</v>
      </c>
      <c r="AC14" s="83"/>
      <c r="AD14" s="83"/>
    </row>
    <row r="15" spans="1:33" ht="27" customHeight="1" x14ac:dyDescent="0.25">
      <c r="A15" s="90">
        <v>20</v>
      </c>
      <c r="B15" s="90" t="s">
        <v>77</v>
      </c>
      <c r="C15" s="90" t="s">
        <v>78</v>
      </c>
      <c r="D15" s="98" t="s">
        <v>134</v>
      </c>
      <c r="E15" s="90">
        <v>1282.5</v>
      </c>
      <c r="F15" s="91">
        <v>45366</v>
      </c>
      <c r="G15" s="26" t="s">
        <v>27</v>
      </c>
      <c r="H15" s="27">
        <v>74</v>
      </c>
      <c r="I15" s="29">
        <v>1050</v>
      </c>
      <c r="J15" s="30">
        <v>45371</v>
      </c>
      <c r="K15" s="31">
        <v>39</v>
      </c>
      <c r="L15" s="32" t="s">
        <v>2</v>
      </c>
      <c r="M15" s="87" t="s">
        <v>80</v>
      </c>
      <c r="N15" s="34">
        <f>I15*50</f>
        <v>52500</v>
      </c>
      <c r="O15" s="92">
        <v>9520</v>
      </c>
      <c r="P15" s="34">
        <f>N15-O15</f>
        <v>42980</v>
      </c>
      <c r="Q15" s="36">
        <f t="shared" ref="Q15" si="5">I15*H15/2</f>
        <v>38850</v>
      </c>
      <c r="R15" s="37">
        <v>38850</v>
      </c>
      <c r="S15" s="36">
        <f t="shared" ref="S15" si="6">Q15-R15</f>
        <v>0</v>
      </c>
      <c r="T15" s="93" t="s">
        <v>135</v>
      </c>
      <c r="U15" s="94" t="s">
        <v>82</v>
      </c>
      <c r="V15" s="75" t="s">
        <v>57</v>
      </c>
      <c r="W15" s="74" t="s">
        <v>136</v>
      </c>
      <c r="X15" s="95" t="s">
        <v>137</v>
      </c>
      <c r="Y15" s="77" t="s">
        <v>118</v>
      </c>
      <c r="Z15" s="75" t="s">
        <v>57</v>
      </c>
      <c r="AA15" s="101" t="s">
        <v>137</v>
      </c>
      <c r="AB15" s="39" t="s">
        <v>138</v>
      </c>
      <c r="AC15" s="83"/>
      <c r="AD15" s="83"/>
    </row>
    <row r="16" spans="1:33" ht="31.5" customHeight="1" x14ac:dyDescent="0.25">
      <c r="A16" s="88">
        <v>21</v>
      </c>
      <c r="B16" s="88" t="s">
        <v>77</v>
      </c>
      <c r="C16" s="88" t="s">
        <v>78</v>
      </c>
      <c r="D16" s="89" t="s">
        <v>139</v>
      </c>
      <c r="E16" s="90">
        <v>3505.5</v>
      </c>
      <c r="F16" s="91">
        <v>45366</v>
      </c>
      <c r="G16" s="26" t="s">
        <v>27</v>
      </c>
      <c r="H16" s="27">
        <v>49</v>
      </c>
      <c r="I16" s="29">
        <v>1867.2</v>
      </c>
      <c r="J16" s="30">
        <v>45372</v>
      </c>
      <c r="K16" s="31">
        <v>28</v>
      </c>
      <c r="L16" s="32" t="s">
        <v>2</v>
      </c>
      <c r="M16" s="99" t="s">
        <v>96</v>
      </c>
      <c r="N16" s="99" t="s">
        <v>96</v>
      </c>
      <c r="O16" s="100" t="s">
        <v>96</v>
      </c>
      <c r="P16" s="99" t="s">
        <v>96</v>
      </c>
      <c r="Q16" s="99" t="s">
        <v>96</v>
      </c>
      <c r="R16" s="100" t="s">
        <v>96</v>
      </c>
      <c r="S16" s="99" t="s">
        <v>96</v>
      </c>
      <c r="T16" s="99" t="s">
        <v>96</v>
      </c>
      <c r="U16" s="99" t="s">
        <v>96</v>
      </c>
      <c r="V16" s="99" t="s">
        <v>96</v>
      </c>
      <c r="W16" s="74" t="s">
        <v>140</v>
      </c>
      <c r="X16" s="76" t="s">
        <v>141</v>
      </c>
      <c r="Y16" s="77" t="s">
        <v>142</v>
      </c>
      <c r="Z16" s="75" t="s">
        <v>143</v>
      </c>
      <c r="AA16" s="76" t="s">
        <v>141</v>
      </c>
      <c r="AB16" s="85" t="s">
        <v>144</v>
      </c>
      <c r="AC16" s="83"/>
      <c r="AD16" s="83"/>
    </row>
    <row r="17" spans="1:54" ht="29.25" customHeight="1" x14ac:dyDescent="0.25">
      <c r="A17" s="90">
        <v>28</v>
      </c>
      <c r="B17" s="90" t="s">
        <v>77</v>
      </c>
      <c r="C17" s="90" t="s">
        <v>145</v>
      </c>
      <c r="D17" s="98" t="s">
        <v>146</v>
      </c>
      <c r="E17" s="90">
        <v>21482.799999999999</v>
      </c>
      <c r="F17" s="91">
        <v>45371</v>
      </c>
      <c r="G17" s="26" t="s">
        <v>69</v>
      </c>
      <c r="H17" s="27">
        <v>79</v>
      </c>
      <c r="I17" s="29">
        <v>1650</v>
      </c>
      <c r="J17" s="30">
        <v>45593</v>
      </c>
      <c r="K17" s="31">
        <v>101</v>
      </c>
      <c r="L17" s="32" t="s">
        <v>2</v>
      </c>
      <c r="M17" s="102"/>
      <c r="N17" s="103">
        <v>0</v>
      </c>
      <c r="O17" s="103">
        <v>0</v>
      </c>
      <c r="P17" s="103">
        <f>N17-O17</f>
        <v>0</v>
      </c>
      <c r="Q17" s="36">
        <f t="shared" ref="Q17" si="7">I17*H17/2</f>
        <v>65175</v>
      </c>
      <c r="R17" s="37">
        <v>1966</v>
      </c>
      <c r="S17" s="36">
        <f t="shared" ref="S17:S19" si="8">Q17-R17</f>
        <v>63209</v>
      </c>
      <c r="T17" s="104" t="s">
        <v>147</v>
      </c>
      <c r="U17" s="105">
        <v>0</v>
      </c>
      <c r="V17" s="106">
        <v>0</v>
      </c>
      <c r="W17" s="74" t="s">
        <v>148</v>
      </c>
      <c r="X17" s="95" t="s">
        <v>149</v>
      </c>
      <c r="Y17" s="77" t="s">
        <v>150</v>
      </c>
      <c r="Z17" s="75" t="s">
        <v>57</v>
      </c>
      <c r="AA17" s="107" t="s">
        <v>151</v>
      </c>
      <c r="AB17" s="39" t="s">
        <v>152</v>
      </c>
      <c r="AC17" s="83"/>
      <c r="AD17" s="83"/>
    </row>
    <row r="18" spans="1:54" ht="31.5" customHeight="1" x14ac:dyDescent="0.25">
      <c r="A18" s="108">
        <v>31</v>
      </c>
      <c r="B18" s="108" t="s">
        <v>77</v>
      </c>
      <c r="C18" s="108" t="s">
        <v>77</v>
      </c>
      <c r="D18" s="109" t="s">
        <v>153</v>
      </c>
      <c r="E18" s="108">
        <v>2601.56</v>
      </c>
      <c r="F18" s="110">
        <v>45370</v>
      </c>
      <c r="G18" s="26" t="s">
        <v>27</v>
      </c>
      <c r="H18" s="27">
        <v>74</v>
      </c>
      <c r="I18" s="29">
        <v>2601</v>
      </c>
      <c r="J18" s="30">
        <v>45371</v>
      </c>
      <c r="K18" s="31">
        <v>81</v>
      </c>
      <c r="L18" s="32" t="s">
        <v>2</v>
      </c>
      <c r="M18" s="32" t="s">
        <v>4</v>
      </c>
      <c r="N18" s="72">
        <v>130050</v>
      </c>
      <c r="O18" s="37">
        <v>130050</v>
      </c>
      <c r="P18" s="73">
        <f t="shared" ref="P18:P19" si="9">N18-O18</f>
        <v>0</v>
      </c>
      <c r="Q18" s="36">
        <f>I18*H18/2</f>
        <v>96237</v>
      </c>
      <c r="R18" s="37">
        <v>96237</v>
      </c>
      <c r="S18" s="36">
        <f t="shared" si="8"/>
        <v>0</v>
      </c>
      <c r="T18" s="74" t="s">
        <v>154</v>
      </c>
      <c r="U18" s="36">
        <v>0</v>
      </c>
      <c r="V18" s="75" t="s">
        <v>106</v>
      </c>
      <c r="W18" s="74" t="s">
        <v>155</v>
      </c>
      <c r="X18" s="76" t="s">
        <v>156</v>
      </c>
      <c r="Y18" s="77" t="s">
        <v>157</v>
      </c>
      <c r="Z18" s="75" t="s">
        <v>106</v>
      </c>
      <c r="AA18" s="77" t="s">
        <v>158</v>
      </c>
      <c r="AB18" s="85" t="s">
        <v>159</v>
      </c>
      <c r="AC18" s="83"/>
      <c r="AD18" s="83"/>
    </row>
    <row r="19" spans="1:54" ht="31.5" customHeight="1" x14ac:dyDescent="0.25">
      <c r="A19" s="108">
        <v>32</v>
      </c>
      <c r="B19" s="108" t="s">
        <v>77</v>
      </c>
      <c r="C19" s="108" t="s">
        <v>77</v>
      </c>
      <c r="D19" s="109" t="s">
        <v>160</v>
      </c>
      <c r="E19" s="108">
        <v>5250</v>
      </c>
      <c r="F19" s="110">
        <v>45369</v>
      </c>
      <c r="G19" s="26" t="s">
        <v>69</v>
      </c>
      <c r="H19" s="27">
        <v>79</v>
      </c>
      <c r="I19" s="29">
        <v>5250</v>
      </c>
      <c r="J19" s="30">
        <v>45371</v>
      </c>
      <c r="K19" s="31">
        <v>88</v>
      </c>
      <c r="L19" s="32" t="s">
        <v>55</v>
      </c>
      <c r="M19" s="87" t="s">
        <v>161</v>
      </c>
      <c r="N19" s="72">
        <v>0</v>
      </c>
      <c r="O19" s="35">
        <v>0</v>
      </c>
      <c r="P19" s="73">
        <f t="shared" si="9"/>
        <v>0</v>
      </c>
      <c r="Q19" s="36">
        <f>I19*H19/2</f>
        <v>207375</v>
      </c>
      <c r="R19" s="37">
        <v>207375</v>
      </c>
      <c r="S19" s="36">
        <f t="shared" si="8"/>
        <v>0</v>
      </c>
      <c r="T19" s="74" t="s">
        <v>162</v>
      </c>
      <c r="U19" s="36">
        <v>0</v>
      </c>
      <c r="V19" s="75" t="s">
        <v>123</v>
      </c>
      <c r="W19" s="74" t="s">
        <v>163</v>
      </c>
      <c r="X19" s="76" t="s">
        <v>164</v>
      </c>
      <c r="Y19" s="77" t="s">
        <v>165</v>
      </c>
      <c r="Z19" s="75" t="s">
        <v>123</v>
      </c>
      <c r="AA19" s="77" t="s">
        <v>166</v>
      </c>
      <c r="AB19" s="85" t="s">
        <v>167</v>
      </c>
      <c r="AC19" s="83"/>
      <c r="AD19" s="83"/>
    </row>
    <row r="20" spans="1:54" ht="20.25" customHeight="1" x14ac:dyDescent="0.3">
      <c r="A20" s="108">
        <v>33</v>
      </c>
      <c r="B20" s="108" t="s">
        <v>77</v>
      </c>
      <c r="C20" s="108" t="s">
        <v>77</v>
      </c>
      <c r="D20" s="109" t="s">
        <v>168</v>
      </c>
      <c r="E20" s="108">
        <v>3382.88</v>
      </c>
      <c r="F20" s="110">
        <v>45369</v>
      </c>
      <c r="G20" s="26" t="s">
        <v>27</v>
      </c>
      <c r="H20" s="27">
        <v>49</v>
      </c>
      <c r="I20" s="29">
        <v>3320</v>
      </c>
      <c r="J20" s="30">
        <v>45371</v>
      </c>
      <c r="K20" s="31">
        <v>83</v>
      </c>
      <c r="L20" s="32" t="s">
        <v>2</v>
      </c>
      <c r="M20" s="99" t="s">
        <v>96</v>
      </c>
      <c r="N20" s="99" t="s">
        <v>96</v>
      </c>
      <c r="O20" s="100" t="s">
        <v>96</v>
      </c>
      <c r="P20" s="99" t="s">
        <v>96</v>
      </c>
      <c r="Q20" s="99" t="s">
        <v>96</v>
      </c>
      <c r="R20" s="100" t="s">
        <v>96</v>
      </c>
      <c r="S20" s="99" t="s">
        <v>96</v>
      </c>
      <c r="T20" s="74" t="s">
        <v>169</v>
      </c>
      <c r="U20" s="36">
        <v>0</v>
      </c>
      <c r="V20" s="75" t="s">
        <v>170</v>
      </c>
      <c r="W20" s="74" t="s">
        <v>171</v>
      </c>
      <c r="X20" s="76" t="s">
        <v>172</v>
      </c>
      <c r="Y20" s="77" t="s">
        <v>173</v>
      </c>
      <c r="Z20" s="75" t="s">
        <v>170</v>
      </c>
      <c r="AA20" s="77" t="s">
        <v>174</v>
      </c>
      <c r="AB20" s="85" t="s">
        <v>175</v>
      </c>
      <c r="AC20" s="83"/>
      <c r="AD20" s="83"/>
    </row>
    <row r="21" spans="1:54" ht="31.5" customHeight="1" x14ac:dyDescent="0.25">
      <c r="A21" s="108">
        <v>35</v>
      </c>
      <c r="B21" s="108" t="s">
        <v>77</v>
      </c>
      <c r="C21" s="108" t="s">
        <v>77</v>
      </c>
      <c r="D21" s="109" t="s">
        <v>176</v>
      </c>
      <c r="E21" s="108">
        <v>5557.5</v>
      </c>
      <c r="F21" s="110">
        <v>45366</v>
      </c>
      <c r="G21" s="26" t="s">
        <v>69</v>
      </c>
      <c r="H21" s="27">
        <v>79</v>
      </c>
      <c r="I21" s="29">
        <v>5508</v>
      </c>
      <c r="J21" s="30">
        <v>45371</v>
      </c>
      <c r="K21" s="31">
        <v>78</v>
      </c>
      <c r="L21" s="32" t="s">
        <v>2</v>
      </c>
      <c r="M21" s="87" t="s">
        <v>177</v>
      </c>
      <c r="N21" s="72">
        <v>0</v>
      </c>
      <c r="O21" s="35">
        <v>0</v>
      </c>
      <c r="P21" s="73">
        <f t="shared" ref="P21" si="10">N21-O21</f>
        <v>0</v>
      </c>
      <c r="Q21" s="36">
        <f>I21*H21/2</f>
        <v>217566</v>
      </c>
      <c r="R21" s="37">
        <v>211767</v>
      </c>
      <c r="S21" s="36">
        <f t="shared" ref="S21" si="11">Q21-R21</f>
        <v>5799</v>
      </c>
      <c r="T21" s="74" t="s">
        <v>178</v>
      </c>
      <c r="U21" s="36">
        <v>0</v>
      </c>
      <c r="V21" s="75" t="s">
        <v>123</v>
      </c>
      <c r="W21" s="74" t="s">
        <v>179</v>
      </c>
      <c r="X21" s="76" t="s">
        <v>180</v>
      </c>
      <c r="Y21" s="77" t="s">
        <v>181</v>
      </c>
      <c r="Z21" s="75" t="s">
        <v>123</v>
      </c>
      <c r="AA21" s="77" t="s">
        <v>182</v>
      </c>
      <c r="AB21" s="85" t="s">
        <v>183</v>
      </c>
      <c r="AC21" s="83"/>
      <c r="AD21" s="83"/>
    </row>
    <row r="22" spans="1:54" ht="31.5" customHeight="1" x14ac:dyDescent="0.3">
      <c r="A22" s="108">
        <v>36</v>
      </c>
      <c r="B22" s="108" t="s">
        <v>77</v>
      </c>
      <c r="C22" s="108" t="s">
        <v>77</v>
      </c>
      <c r="D22" s="109" t="s">
        <v>184</v>
      </c>
      <c r="E22" s="108">
        <v>5405.9</v>
      </c>
      <c r="F22" s="110">
        <v>45367</v>
      </c>
      <c r="G22" s="26" t="s">
        <v>27</v>
      </c>
      <c r="H22" s="27">
        <v>49</v>
      </c>
      <c r="I22" s="29">
        <v>5405</v>
      </c>
      <c r="J22" s="30">
        <v>45371</v>
      </c>
      <c r="K22" s="31">
        <v>86</v>
      </c>
      <c r="L22" s="32" t="s">
        <v>2</v>
      </c>
      <c r="M22" s="99" t="s">
        <v>96</v>
      </c>
      <c r="N22" s="99" t="s">
        <v>96</v>
      </c>
      <c r="O22" s="100" t="s">
        <v>96</v>
      </c>
      <c r="P22" s="99" t="s">
        <v>96</v>
      </c>
      <c r="Q22" s="99" t="s">
        <v>96</v>
      </c>
      <c r="R22" s="100" t="s">
        <v>96</v>
      </c>
      <c r="S22" s="99" t="s">
        <v>96</v>
      </c>
      <c r="T22" s="74" t="s">
        <v>185</v>
      </c>
      <c r="U22" s="36">
        <v>0</v>
      </c>
      <c r="V22" s="75" t="s">
        <v>106</v>
      </c>
      <c r="W22" s="74" t="s">
        <v>186</v>
      </c>
      <c r="X22" s="76" t="s">
        <v>187</v>
      </c>
      <c r="Y22" s="77" t="s">
        <v>188</v>
      </c>
      <c r="Z22" s="75" t="s">
        <v>106</v>
      </c>
      <c r="AA22" s="77" t="s">
        <v>189</v>
      </c>
      <c r="AB22" s="85" t="s">
        <v>190</v>
      </c>
      <c r="AC22" s="83"/>
      <c r="AD22" s="83"/>
    </row>
    <row r="23" spans="1:54" ht="31.5" customHeight="1" x14ac:dyDescent="0.25">
      <c r="A23" s="108">
        <v>37</v>
      </c>
      <c r="B23" s="108" t="s">
        <v>77</v>
      </c>
      <c r="C23" s="108" t="s">
        <v>77</v>
      </c>
      <c r="D23" s="109" t="s">
        <v>191</v>
      </c>
      <c r="E23" s="108">
        <v>2550</v>
      </c>
      <c r="F23" s="110">
        <v>45366</v>
      </c>
      <c r="G23" s="26" t="s">
        <v>27</v>
      </c>
      <c r="H23" s="27">
        <v>74</v>
      </c>
      <c r="I23" s="29">
        <v>2550</v>
      </c>
      <c r="J23" s="30">
        <v>45371</v>
      </c>
      <c r="K23" s="31">
        <v>85</v>
      </c>
      <c r="L23" s="32" t="s">
        <v>55</v>
      </c>
      <c r="M23" s="32" t="s">
        <v>4</v>
      </c>
      <c r="N23" s="72">
        <v>127500</v>
      </c>
      <c r="O23" s="35">
        <v>127500</v>
      </c>
      <c r="P23" s="73">
        <f t="shared" ref="P23" si="12">N23-O23</f>
        <v>0</v>
      </c>
      <c r="Q23" s="36">
        <f>I23*H23/2</f>
        <v>94350</v>
      </c>
      <c r="R23" s="37">
        <v>94350</v>
      </c>
      <c r="S23" s="36">
        <f t="shared" ref="S23" si="13">Q23-R23</f>
        <v>0</v>
      </c>
      <c r="T23" s="74" t="s">
        <v>192</v>
      </c>
      <c r="U23" s="36">
        <v>0</v>
      </c>
      <c r="V23" s="75" t="s">
        <v>106</v>
      </c>
      <c r="W23" s="74" t="s">
        <v>193</v>
      </c>
      <c r="X23" s="76" t="s">
        <v>194</v>
      </c>
      <c r="Y23" s="77" t="s">
        <v>195</v>
      </c>
      <c r="Z23" s="75" t="s">
        <v>106</v>
      </c>
      <c r="AA23" s="77" t="s">
        <v>196</v>
      </c>
      <c r="AB23" s="85" t="s">
        <v>197</v>
      </c>
      <c r="AC23" s="83"/>
      <c r="AD23" s="83"/>
    </row>
    <row r="24" spans="1:54" ht="20.25" customHeight="1" x14ac:dyDescent="0.3">
      <c r="A24" s="108">
        <v>38</v>
      </c>
      <c r="B24" s="108" t="s">
        <v>77</v>
      </c>
      <c r="C24" s="108" t="s">
        <v>77</v>
      </c>
      <c r="D24" s="109" t="s">
        <v>198</v>
      </c>
      <c r="E24" s="108">
        <v>1733.06</v>
      </c>
      <c r="F24" s="110">
        <v>45366</v>
      </c>
      <c r="G24" s="26" t="s">
        <v>69</v>
      </c>
      <c r="H24" s="27">
        <v>54</v>
      </c>
      <c r="I24" s="29">
        <v>1733</v>
      </c>
      <c r="J24" s="30">
        <v>45371</v>
      </c>
      <c r="K24" s="31">
        <v>87</v>
      </c>
      <c r="L24" s="32" t="s">
        <v>2</v>
      </c>
      <c r="M24" s="99" t="s">
        <v>96</v>
      </c>
      <c r="N24" s="99" t="s">
        <v>96</v>
      </c>
      <c r="O24" s="100" t="s">
        <v>96</v>
      </c>
      <c r="P24" s="99" t="s">
        <v>96</v>
      </c>
      <c r="Q24" s="99" t="s">
        <v>96</v>
      </c>
      <c r="R24" s="100" t="s">
        <v>96</v>
      </c>
      <c r="S24" s="99" t="s">
        <v>96</v>
      </c>
      <c r="T24" s="99" t="s">
        <v>96</v>
      </c>
      <c r="U24" s="99" t="s">
        <v>96</v>
      </c>
      <c r="V24" s="99" t="s">
        <v>96</v>
      </c>
      <c r="W24" s="74" t="s">
        <v>199</v>
      </c>
      <c r="X24" s="76" t="s">
        <v>200</v>
      </c>
      <c r="Y24" s="77" t="s">
        <v>201</v>
      </c>
      <c r="Z24" s="75" t="s">
        <v>106</v>
      </c>
      <c r="AA24" s="77" t="s">
        <v>202</v>
      </c>
      <c r="AB24" s="85" t="s">
        <v>203</v>
      </c>
      <c r="AC24" s="83"/>
      <c r="AD24" s="83"/>
    </row>
    <row r="25" spans="1:54" ht="31.5" customHeight="1" x14ac:dyDescent="0.25">
      <c r="A25" s="108">
        <v>39</v>
      </c>
      <c r="B25" s="108" t="s">
        <v>77</v>
      </c>
      <c r="C25" s="108" t="s">
        <v>77</v>
      </c>
      <c r="D25" s="109" t="s">
        <v>204</v>
      </c>
      <c r="E25" s="108">
        <v>3825</v>
      </c>
      <c r="F25" s="110">
        <v>45366</v>
      </c>
      <c r="G25" s="26" t="s">
        <v>69</v>
      </c>
      <c r="H25" s="27">
        <v>79</v>
      </c>
      <c r="I25" s="29">
        <v>3825</v>
      </c>
      <c r="J25" s="30">
        <v>45371</v>
      </c>
      <c r="K25" s="31">
        <v>76</v>
      </c>
      <c r="L25" s="32" t="s">
        <v>55</v>
      </c>
      <c r="M25" s="87" t="s">
        <v>205</v>
      </c>
      <c r="N25" s="72">
        <v>0</v>
      </c>
      <c r="O25" s="35">
        <v>0</v>
      </c>
      <c r="P25" s="73">
        <f t="shared" ref="P25:P26" si="14">N25-O25</f>
        <v>0</v>
      </c>
      <c r="Q25" s="36">
        <f>I25*H25/2</f>
        <v>151087.5</v>
      </c>
      <c r="R25" s="37">
        <v>151088</v>
      </c>
      <c r="S25" s="36">
        <f t="shared" ref="S25:S26" si="15">Q25-R25</f>
        <v>-0.5</v>
      </c>
      <c r="T25" s="74" t="s">
        <v>206</v>
      </c>
      <c r="U25" s="36">
        <v>0</v>
      </c>
      <c r="V25" s="75" t="s">
        <v>123</v>
      </c>
      <c r="W25" s="74" t="s">
        <v>207</v>
      </c>
      <c r="X25" s="76" t="s">
        <v>208</v>
      </c>
      <c r="Y25" s="77" t="s">
        <v>209</v>
      </c>
      <c r="Z25" s="75" t="s">
        <v>123</v>
      </c>
      <c r="AA25" s="77" t="s">
        <v>210</v>
      </c>
      <c r="AB25" s="85" t="s">
        <v>211</v>
      </c>
      <c r="AC25" s="83"/>
      <c r="AD25" s="83"/>
      <c r="AE25" s="111"/>
      <c r="AF25" s="112"/>
      <c r="AG25" s="113"/>
      <c r="AH25" s="114"/>
      <c r="AI25" s="112"/>
      <c r="AJ25" s="112"/>
      <c r="AK25" s="115"/>
      <c r="AL25" s="116"/>
      <c r="AM25" s="116"/>
      <c r="AN25" s="116"/>
      <c r="AO25" s="116"/>
      <c r="AP25" s="116"/>
      <c r="AQ25" s="116"/>
      <c r="AR25" s="117"/>
      <c r="AS25" s="118"/>
      <c r="AT25" s="112"/>
      <c r="AU25" s="119"/>
      <c r="AV25" s="112"/>
      <c r="AW25" s="120"/>
      <c r="AX25" s="112"/>
      <c r="AY25" s="112"/>
      <c r="AZ25" s="119"/>
      <c r="BA25" s="112"/>
      <c r="BB25" s="112"/>
    </row>
    <row r="26" spans="1:54" ht="31.5" customHeight="1" x14ac:dyDescent="0.25">
      <c r="A26" s="108">
        <v>40</v>
      </c>
      <c r="B26" s="108" t="s">
        <v>77</v>
      </c>
      <c r="C26" s="108" t="s">
        <v>77</v>
      </c>
      <c r="D26" s="109" t="s">
        <v>212</v>
      </c>
      <c r="E26" s="108">
        <v>1389.38</v>
      </c>
      <c r="F26" s="110">
        <v>45366</v>
      </c>
      <c r="G26" s="26" t="s">
        <v>27</v>
      </c>
      <c r="H26" s="27">
        <v>74</v>
      </c>
      <c r="I26" s="29">
        <v>1328</v>
      </c>
      <c r="J26" s="30">
        <v>45371</v>
      </c>
      <c r="K26" s="31">
        <v>65</v>
      </c>
      <c r="L26" s="32" t="s">
        <v>55</v>
      </c>
      <c r="M26" s="87" t="s">
        <v>213</v>
      </c>
      <c r="N26" s="72">
        <v>0</v>
      </c>
      <c r="O26" s="35">
        <v>0</v>
      </c>
      <c r="P26" s="73">
        <f t="shared" si="14"/>
        <v>0</v>
      </c>
      <c r="Q26" s="36">
        <f>I26*H26/2</f>
        <v>49136</v>
      </c>
      <c r="R26" s="37">
        <v>49136</v>
      </c>
      <c r="S26" s="36">
        <f t="shared" si="15"/>
        <v>0</v>
      </c>
      <c r="T26" s="74" t="s">
        <v>214</v>
      </c>
      <c r="U26" s="36">
        <v>0</v>
      </c>
      <c r="V26" s="75" t="s">
        <v>106</v>
      </c>
      <c r="W26" s="74" t="s">
        <v>215</v>
      </c>
      <c r="X26" s="76" t="s">
        <v>216</v>
      </c>
      <c r="Y26" s="77" t="s">
        <v>157</v>
      </c>
      <c r="Z26" s="75" t="s">
        <v>106</v>
      </c>
      <c r="AA26" s="77" t="s">
        <v>217</v>
      </c>
      <c r="AB26" s="85" t="s">
        <v>218</v>
      </c>
      <c r="AC26" s="83"/>
      <c r="AD26" s="83"/>
    </row>
    <row r="27" spans="1:54" ht="31.5" customHeight="1" x14ac:dyDescent="0.3">
      <c r="A27" s="108">
        <v>41</v>
      </c>
      <c r="B27" s="108" t="s">
        <v>77</v>
      </c>
      <c r="C27" s="108" t="s">
        <v>77</v>
      </c>
      <c r="D27" s="109" t="s">
        <v>219</v>
      </c>
      <c r="E27" s="108">
        <v>5287.43</v>
      </c>
      <c r="F27" s="110">
        <v>45366</v>
      </c>
      <c r="G27" s="26" t="s">
        <v>69</v>
      </c>
      <c r="H27" s="27">
        <v>54</v>
      </c>
      <c r="I27" s="29">
        <v>5282</v>
      </c>
      <c r="J27" s="30">
        <v>45371</v>
      </c>
      <c r="K27" s="31">
        <v>80</v>
      </c>
      <c r="L27" s="32" t="s">
        <v>2</v>
      </c>
      <c r="M27" s="99" t="s">
        <v>96</v>
      </c>
      <c r="N27" s="99" t="s">
        <v>96</v>
      </c>
      <c r="O27" s="100" t="s">
        <v>96</v>
      </c>
      <c r="P27" s="99" t="s">
        <v>96</v>
      </c>
      <c r="Q27" s="99" t="s">
        <v>96</v>
      </c>
      <c r="R27" s="100" t="s">
        <v>96</v>
      </c>
      <c r="S27" s="99" t="s">
        <v>96</v>
      </c>
      <c r="T27" s="74" t="s">
        <v>220</v>
      </c>
      <c r="U27" s="36">
        <v>0</v>
      </c>
      <c r="V27" s="75" t="s">
        <v>106</v>
      </c>
      <c r="W27" s="74" t="s">
        <v>221</v>
      </c>
      <c r="X27" s="76" t="s">
        <v>222</v>
      </c>
      <c r="Y27" s="77" t="s">
        <v>223</v>
      </c>
      <c r="Z27" s="75" t="s">
        <v>106</v>
      </c>
      <c r="AA27" s="77" t="s">
        <v>224</v>
      </c>
      <c r="AB27" s="85" t="s">
        <v>225</v>
      </c>
      <c r="AC27" s="83"/>
      <c r="AD27" s="83"/>
    </row>
    <row r="28" spans="1:54" ht="31.5" customHeight="1" x14ac:dyDescent="0.3">
      <c r="A28" s="108">
        <v>42</v>
      </c>
      <c r="B28" s="108" t="s">
        <v>77</v>
      </c>
      <c r="C28" s="108" t="s">
        <v>77</v>
      </c>
      <c r="D28" s="109" t="s">
        <v>226</v>
      </c>
      <c r="E28" s="108">
        <v>5621.86</v>
      </c>
      <c r="F28" s="110">
        <v>45366</v>
      </c>
      <c r="G28" s="26" t="s">
        <v>27</v>
      </c>
      <c r="H28" s="27">
        <v>49</v>
      </c>
      <c r="I28" s="29">
        <v>5621</v>
      </c>
      <c r="J28" s="30">
        <v>45371</v>
      </c>
      <c r="K28" s="31">
        <v>82</v>
      </c>
      <c r="L28" s="32" t="s">
        <v>55</v>
      </c>
      <c r="M28" s="87" t="s">
        <v>227</v>
      </c>
      <c r="N28" s="99" t="s">
        <v>96</v>
      </c>
      <c r="O28" s="99" t="s">
        <v>96</v>
      </c>
      <c r="P28" s="99" t="s">
        <v>96</v>
      </c>
      <c r="Q28" s="99" t="s">
        <v>96</v>
      </c>
      <c r="R28" s="100" t="s">
        <v>96</v>
      </c>
      <c r="S28" s="99" t="s">
        <v>96</v>
      </c>
      <c r="T28" s="74" t="s">
        <v>228</v>
      </c>
      <c r="U28" s="36">
        <v>0</v>
      </c>
      <c r="V28" s="75" t="s">
        <v>106</v>
      </c>
      <c r="W28" s="74" t="s">
        <v>229</v>
      </c>
      <c r="X28" s="76" t="s">
        <v>230</v>
      </c>
      <c r="Y28" s="77" t="s">
        <v>201</v>
      </c>
      <c r="Z28" s="75" t="s">
        <v>106</v>
      </c>
      <c r="AA28" s="77" t="s">
        <v>231</v>
      </c>
      <c r="AB28" s="85" t="s">
        <v>232</v>
      </c>
      <c r="AC28" s="83"/>
      <c r="AD28" s="83"/>
    </row>
    <row r="29" spans="1:54" ht="18.75" customHeight="1" x14ac:dyDescent="0.25">
      <c r="A29" s="108">
        <v>43</v>
      </c>
      <c r="B29" s="108" t="s">
        <v>77</v>
      </c>
      <c r="C29" s="108" t="s">
        <v>77</v>
      </c>
      <c r="D29" s="109" t="s">
        <v>233</v>
      </c>
      <c r="E29" s="108">
        <v>5350.5</v>
      </c>
      <c r="F29" s="110">
        <v>45366</v>
      </c>
      <c r="G29" s="26" t="s">
        <v>69</v>
      </c>
      <c r="H29" s="27">
        <v>79</v>
      </c>
      <c r="I29" s="29">
        <v>5350</v>
      </c>
      <c r="J29" s="30">
        <v>45371</v>
      </c>
      <c r="K29" s="31">
        <v>92</v>
      </c>
      <c r="L29" s="32" t="s">
        <v>2</v>
      </c>
      <c r="M29" s="121" t="s">
        <v>2</v>
      </c>
      <c r="N29" s="72">
        <v>267500</v>
      </c>
      <c r="O29" s="35">
        <v>0</v>
      </c>
      <c r="P29" s="73">
        <f t="shared" ref="P29:P37" si="16">N29-O29</f>
        <v>267500</v>
      </c>
      <c r="Q29" s="36">
        <f>I29*H29/2</f>
        <v>211325</v>
      </c>
      <c r="R29" s="37">
        <v>139201</v>
      </c>
      <c r="S29" s="36">
        <f t="shared" ref="S29:S37" si="17">Q29-R29</f>
        <v>72124</v>
      </c>
      <c r="T29" s="74" t="s">
        <v>234</v>
      </c>
      <c r="U29" s="36">
        <v>0</v>
      </c>
      <c r="V29" s="75" t="s">
        <v>235</v>
      </c>
      <c r="W29" s="74" t="s">
        <v>236</v>
      </c>
      <c r="X29" s="76" t="s">
        <v>237</v>
      </c>
      <c r="Y29" s="77" t="s">
        <v>238</v>
      </c>
      <c r="Z29" s="75" t="s">
        <v>235</v>
      </c>
      <c r="AA29" s="77" t="s">
        <v>239</v>
      </c>
      <c r="AB29" s="85" t="s">
        <v>240</v>
      </c>
      <c r="AC29" s="83"/>
      <c r="AD29" s="83"/>
    </row>
    <row r="30" spans="1:54" s="84" customFormat="1" ht="31.5" customHeight="1" x14ac:dyDescent="0.25">
      <c r="A30" s="80">
        <v>48</v>
      </c>
      <c r="B30" s="80" t="s">
        <v>77</v>
      </c>
      <c r="C30" s="80" t="s">
        <v>241</v>
      </c>
      <c r="D30" s="81" t="s">
        <v>242</v>
      </c>
      <c r="E30" s="80">
        <v>5602.03</v>
      </c>
      <c r="F30" s="82">
        <v>45366</v>
      </c>
      <c r="G30" s="86" t="s">
        <v>69</v>
      </c>
      <c r="H30" s="27">
        <v>79</v>
      </c>
      <c r="I30" s="31">
        <v>3090</v>
      </c>
      <c r="J30" s="30">
        <v>45383</v>
      </c>
      <c r="K30" s="31" t="s">
        <v>243</v>
      </c>
      <c r="L30" s="32" t="s">
        <v>2</v>
      </c>
      <c r="M30" s="122" t="s">
        <v>244</v>
      </c>
      <c r="N30" s="72">
        <v>0</v>
      </c>
      <c r="O30" s="35">
        <v>0</v>
      </c>
      <c r="P30" s="34">
        <f t="shared" si="16"/>
        <v>0</v>
      </c>
      <c r="Q30" s="36">
        <v>122055</v>
      </c>
      <c r="R30" s="37">
        <f>84081+37974</f>
        <v>122055</v>
      </c>
      <c r="S30" s="36">
        <f t="shared" si="17"/>
        <v>0</v>
      </c>
      <c r="T30" s="74" t="s">
        <v>245</v>
      </c>
      <c r="U30" s="36">
        <v>0</v>
      </c>
      <c r="V30" s="75" t="s">
        <v>48</v>
      </c>
      <c r="W30" s="123" t="s">
        <v>246</v>
      </c>
      <c r="X30" s="77" t="s">
        <v>247</v>
      </c>
      <c r="Y30" s="77" t="s">
        <v>248</v>
      </c>
      <c r="Z30" s="75" t="s">
        <v>48</v>
      </c>
      <c r="AA30" s="77" t="s">
        <v>247</v>
      </c>
      <c r="AB30" s="77" t="s">
        <v>249</v>
      </c>
      <c r="AC30" s="83"/>
      <c r="AD30" s="83"/>
    </row>
    <row r="31" spans="1:54" s="84" customFormat="1" ht="48" customHeight="1" x14ac:dyDescent="0.25">
      <c r="A31" s="80">
        <v>49</v>
      </c>
      <c r="B31" s="80" t="s">
        <v>77</v>
      </c>
      <c r="C31" s="80" t="s">
        <v>250</v>
      </c>
      <c r="D31" s="81" t="s">
        <v>251</v>
      </c>
      <c r="E31" s="80">
        <v>6220.13</v>
      </c>
      <c r="F31" s="82">
        <v>45371</v>
      </c>
      <c r="G31" s="86" t="s">
        <v>69</v>
      </c>
      <c r="H31" s="27">
        <v>79</v>
      </c>
      <c r="I31" s="31">
        <v>4363</v>
      </c>
      <c r="J31" s="30">
        <v>45386</v>
      </c>
      <c r="K31" s="31">
        <v>34</v>
      </c>
      <c r="L31" s="32" t="s">
        <v>55</v>
      </c>
      <c r="M31" s="122" t="s">
        <v>252</v>
      </c>
      <c r="N31" s="72">
        <v>0</v>
      </c>
      <c r="O31" s="35">
        <v>0</v>
      </c>
      <c r="P31" s="34">
        <f t="shared" si="16"/>
        <v>0</v>
      </c>
      <c r="Q31" s="36">
        <f t="shared" ref="Q31:Q37" si="18">I31*H31/2</f>
        <v>172338.5</v>
      </c>
      <c r="R31" s="37">
        <f>156518+15821</f>
        <v>172339</v>
      </c>
      <c r="S31" s="36">
        <f t="shared" si="17"/>
        <v>-0.5</v>
      </c>
      <c r="T31" s="74" t="s">
        <v>253</v>
      </c>
      <c r="U31" s="36">
        <v>1846203</v>
      </c>
      <c r="V31" s="75" t="s">
        <v>90</v>
      </c>
      <c r="W31" s="123" t="s">
        <v>254</v>
      </c>
      <c r="X31" s="124" t="s">
        <v>255</v>
      </c>
      <c r="Y31" s="77" t="s">
        <v>256</v>
      </c>
      <c r="Z31" s="75" t="s">
        <v>90</v>
      </c>
      <c r="AA31" s="124" t="s">
        <v>255</v>
      </c>
      <c r="AB31" s="77" t="s">
        <v>257</v>
      </c>
      <c r="AC31" s="83"/>
      <c r="AD31" s="83"/>
    </row>
    <row r="32" spans="1:54" s="84" customFormat="1" ht="48" customHeight="1" x14ac:dyDescent="0.25">
      <c r="A32" s="80">
        <v>49</v>
      </c>
      <c r="B32" s="80" t="s">
        <v>77</v>
      </c>
      <c r="C32" s="80" t="s">
        <v>250</v>
      </c>
      <c r="D32" s="81" t="s">
        <v>258</v>
      </c>
      <c r="E32" s="80"/>
      <c r="F32" s="82"/>
      <c r="G32" s="86" t="s">
        <v>27</v>
      </c>
      <c r="H32" s="27">
        <v>74</v>
      </c>
      <c r="I32" s="31">
        <v>5581</v>
      </c>
      <c r="J32" s="30">
        <v>45622</v>
      </c>
      <c r="K32" s="31">
        <v>37</v>
      </c>
      <c r="L32" s="32" t="s">
        <v>2</v>
      </c>
      <c r="M32" s="122" t="s">
        <v>259</v>
      </c>
      <c r="N32" s="72">
        <v>0</v>
      </c>
      <c r="O32" s="35">
        <v>0</v>
      </c>
      <c r="P32" s="34">
        <f t="shared" si="16"/>
        <v>0</v>
      </c>
      <c r="Q32" s="36">
        <f t="shared" si="18"/>
        <v>206497</v>
      </c>
      <c r="R32" s="37">
        <v>16545</v>
      </c>
      <c r="S32" s="36">
        <f t="shared" si="17"/>
        <v>189952</v>
      </c>
      <c r="T32" s="125" t="s">
        <v>260</v>
      </c>
      <c r="U32" s="126">
        <v>0</v>
      </c>
      <c r="V32" s="127">
        <v>0</v>
      </c>
      <c r="W32" s="128" t="s">
        <v>147</v>
      </c>
      <c r="X32" s="129"/>
      <c r="Y32" s="130"/>
      <c r="Z32" s="127"/>
      <c r="AA32" s="124" t="s">
        <v>261</v>
      </c>
      <c r="AB32" s="77" t="s">
        <v>262</v>
      </c>
      <c r="AC32" s="83"/>
      <c r="AD32" s="83"/>
    </row>
    <row r="33" spans="1:33" ht="31.5" customHeight="1" x14ac:dyDescent="0.25">
      <c r="A33" s="88">
        <v>58</v>
      </c>
      <c r="B33" s="88" t="s">
        <v>263</v>
      </c>
      <c r="C33" s="88" t="s">
        <v>264</v>
      </c>
      <c r="D33" s="89" t="s">
        <v>265</v>
      </c>
      <c r="E33" s="90">
        <v>5526.98</v>
      </c>
      <c r="F33" s="91">
        <v>45371</v>
      </c>
      <c r="G33" s="26" t="s">
        <v>27</v>
      </c>
      <c r="H33" s="27">
        <v>74</v>
      </c>
      <c r="I33" s="29">
        <v>5526</v>
      </c>
      <c r="J33" s="30">
        <v>45618</v>
      </c>
      <c r="K33" s="31">
        <v>46</v>
      </c>
      <c r="L33" s="32" t="s">
        <v>2</v>
      </c>
      <c r="M33" s="87" t="s">
        <v>266</v>
      </c>
      <c r="N33" s="34">
        <v>0</v>
      </c>
      <c r="O33" s="35">
        <v>0</v>
      </c>
      <c r="P33" s="34">
        <f t="shared" si="16"/>
        <v>0</v>
      </c>
      <c r="Q33" s="36">
        <f t="shared" si="18"/>
        <v>204462</v>
      </c>
      <c r="R33" s="131">
        <v>71926</v>
      </c>
      <c r="S33" s="36">
        <f t="shared" si="17"/>
        <v>132536</v>
      </c>
      <c r="T33" s="93" t="s">
        <v>267</v>
      </c>
      <c r="U33" s="94" t="s">
        <v>82</v>
      </c>
      <c r="V33" s="75" t="s">
        <v>123</v>
      </c>
      <c r="W33" s="74" t="s">
        <v>268</v>
      </c>
      <c r="X33" s="132" t="s">
        <v>269</v>
      </c>
      <c r="Y33" s="77" t="s">
        <v>270</v>
      </c>
      <c r="Z33" s="75" t="s">
        <v>123</v>
      </c>
      <c r="AA33" s="133" t="s">
        <v>269</v>
      </c>
      <c r="AB33" s="39" t="s">
        <v>271</v>
      </c>
      <c r="AC33" s="79"/>
      <c r="AD33" s="79"/>
      <c r="AG33" s="134" t="s">
        <v>272</v>
      </c>
    </row>
    <row r="34" spans="1:33" ht="30" customHeight="1" x14ac:dyDescent="0.25">
      <c r="A34" s="88">
        <v>69</v>
      </c>
      <c r="B34" s="88" t="s">
        <v>263</v>
      </c>
      <c r="C34" s="88" t="s">
        <v>264</v>
      </c>
      <c r="D34" s="89" t="s">
        <v>273</v>
      </c>
      <c r="E34" s="90">
        <v>3678.19</v>
      </c>
      <c r="F34" s="91">
        <v>45371</v>
      </c>
      <c r="G34" s="26" t="s">
        <v>69</v>
      </c>
      <c r="H34" s="27">
        <v>79</v>
      </c>
      <c r="I34" s="29">
        <v>3674</v>
      </c>
      <c r="J34" s="30">
        <v>45435</v>
      </c>
      <c r="K34" s="31">
        <v>34</v>
      </c>
      <c r="L34" s="32" t="s">
        <v>55</v>
      </c>
      <c r="M34" s="87" t="s">
        <v>274</v>
      </c>
      <c r="N34" s="34">
        <v>0</v>
      </c>
      <c r="O34" s="35">
        <v>0</v>
      </c>
      <c r="P34" s="34">
        <f t="shared" si="16"/>
        <v>0</v>
      </c>
      <c r="Q34" s="36">
        <f t="shared" si="18"/>
        <v>145123</v>
      </c>
      <c r="R34" s="37">
        <v>0</v>
      </c>
      <c r="S34" s="36">
        <f t="shared" si="17"/>
        <v>145123</v>
      </c>
      <c r="T34" s="93" t="s">
        <v>275</v>
      </c>
      <c r="U34" s="94" t="s">
        <v>82</v>
      </c>
      <c r="V34" s="75" t="s">
        <v>90</v>
      </c>
      <c r="W34" s="74" t="s">
        <v>276</v>
      </c>
      <c r="X34" s="95" t="s">
        <v>277</v>
      </c>
      <c r="Y34" s="77" t="s">
        <v>278</v>
      </c>
      <c r="Z34" s="75" t="s">
        <v>90</v>
      </c>
      <c r="AA34" s="132" t="s">
        <v>279</v>
      </c>
      <c r="AB34" s="39" t="s">
        <v>280</v>
      </c>
      <c r="AC34" s="79"/>
      <c r="AD34" s="79"/>
    </row>
    <row r="35" spans="1:33" ht="39.75" customHeight="1" x14ac:dyDescent="0.25">
      <c r="A35" s="88">
        <v>63</v>
      </c>
      <c r="B35" s="88" t="s">
        <v>263</v>
      </c>
      <c r="C35" s="88" t="s">
        <v>264</v>
      </c>
      <c r="D35" s="89" t="s">
        <v>281</v>
      </c>
      <c r="E35" s="90">
        <v>3678.19</v>
      </c>
      <c r="F35" s="91">
        <v>45371</v>
      </c>
      <c r="G35" s="26" t="s">
        <v>69</v>
      </c>
      <c r="H35" s="27">
        <v>79</v>
      </c>
      <c r="I35" s="29">
        <v>3674</v>
      </c>
      <c r="J35" s="30">
        <v>45435</v>
      </c>
      <c r="K35" s="31" t="s">
        <v>282</v>
      </c>
      <c r="L35" s="32" t="s">
        <v>55</v>
      </c>
      <c r="M35" s="87" t="s">
        <v>274</v>
      </c>
      <c r="N35" s="34">
        <v>0</v>
      </c>
      <c r="O35" s="35">
        <v>0</v>
      </c>
      <c r="P35" s="34">
        <f t="shared" si="16"/>
        <v>0</v>
      </c>
      <c r="Q35" s="36">
        <f t="shared" si="18"/>
        <v>145123</v>
      </c>
      <c r="R35" s="37">
        <v>145123</v>
      </c>
      <c r="S35" s="36">
        <f t="shared" si="17"/>
        <v>0</v>
      </c>
      <c r="T35" s="93" t="s">
        <v>283</v>
      </c>
      <c r="U35" s="94" t="s">
        <v>82</v>
      </c>
      <c r="V35" s="75" t="s">
        <v>90</v>
      </c>
      <c r="W35" s="74" t="s">
        <v>276</v>
      </c>
      <c r="X35" s="95" t="s">
        <v>277</v>
      </c>
      <c r="Y35" s="77" t="s">
        <v>278</v>
      </c>
      <c r="Z35" s="75" t="s">
        <v>90</v>
      </c>
      <c r="AA35" s="132" t="s">
        <v>279</v>
      </c>
      <c r="AB35" s="39" t="s">
        <v>280</v>
      </c>
      <c r="AC35" s="83"/>
      <c r="AD35" s="83"/>
    </row>
    <row r="36" spans="1:33" ht="28.5" customHeight="1" x14ac:dyDescent="0.25">
      <c r="A36" s="88">
        <v>83</v>
      </c>
      <c r="B36" s="88" t="s">
        <v>263</v>
      </c>
      <c r="C36" s="88" t="s">
        <v>264</v>
      </c>
      <c r="D36" s="89" t="s">
        <v>284</v>
      </c>
      <c r="E36" s="90">
        <v>3023.5</v>
      </c>
      <c r="F36" s="91">
        <v>45370</v>
      </c>
      <c r="G36" s="26" t="s">
        <v>69</v>
      </c>
      <c r="H36" s="27">
        <v>79</v>
      </c>
      <c r="I36" s="29">
        <v>3024</v>
      </c>
      <c r="J36" s="30">
        <v>45435</v>
      </c>
      <c r="K36" s="31">
        <v>60</v>
      </c>
      <c r="L36" s="32" t="s">
        <v>55</v>
      </c>
      <c r="M36" s="87" t="s">
        <v>274</v>
      </c>
      <c r="N36" s="34">
        <v>0</v>
      </c>
      <c r="O36" s="35">
        <v>0</v>
      </c>
      <c r="P36" s="34">
        <f t="shared" si="16"/>
        <v>0</v>
      </c>
      <c r="Q36" s="36">
        <f t="shared" si="18"/>
        <v>119448</v>
      </c>
      <c r="R36" s="37">
        <v>55630</v>
      </c>
      <c r="S36" s="36">
        <f t="shared" si="17"/>
        <v>63818</v>
      </c>
      <c r="T36" s="93" t="s">
        <v>285</v>
      </c>
      <c r="U36" s="94" t="s">
        <v>82</v>
      </c>
      <c r="V36" s="75" t="s">
        <v>90</v>
      </c>
      <c r="W36" s="74" t="s">
        <v>276</v>
      </c>
      <c r="X36" s="95" t="s">
        <v>277</v>
      </c>
      <c r="Y36" s="77" t="s">
        <v>278</v>
      </c>
      <c r="Z36" s="75" t="s">
        <v>90</v>
      </c>
      <c r="AA36" s="132" t="s">
        <v>279</v>
      </c>
      <c r="AB36" s="39" t="s">
        <v>280</v>
      </c>
      <c r="AC36" s="79"/>
      <c r="AD36" s="79"/>
      <c r="AG36" s="134" t="s">
        <v>286</v>
      </c>
    </row>
    <row r="37" spans="1:33" ht="31.5" customHeight="1" x14ac:dyDescent="0.25">
      <c r="A37" s="90">
        <v>50</v>
      </c>
      <c r="B37" s="90" t="s">
        <v>263</v>
      </c>
      <c r="C37" s="90" t="s">
        <v>264</v>
      </c>
      <c r="D37" s="98" t="s">
        <v>287</v>
      </c>
      <c r="E37" s="90">
        <v>1918.17</v>
      </c>
      <c r="F37" s="91">
        <v>45371</v>
      </c>
      <c r="G37" s="26" t="s">
        <v>69</v>
      </c>
      <c r="H37" s="27">
        <v>79</v>
      </c>
      <c r="I37" s="29">
        <v>1918</v>
      </c>
      <c r="J37" s="30">
        <v>45419</v>
      </c>
      <c r="K37" s="31">
        <v>38</v>
      </c>
      <c r="L37" s="32" t="s">
        <v>2</v>
      </c>
      <c r="M37" s="135" t="s">
        <v>288</v>
      </c>
      <c r="N37" s="34">
        <v>0</v>
      </c>
      <c r="O37" s="35">
        <v>0</v>
      </c>
      <c r="P37" s="34">
        <f t="shared" si="16"/>
        <v>0</v>
      </c>
      <c r="Q37" s="36">
        <f t="shared" si="18"/>
        <v>75761</v>
      </c>
      <c r="R37" s="37">
        <v>75761</v>
      </c>
      <c r="S37" s="36">
        <f t="shared" si="17"/>
        <v>0</v>
      </c>
      <c r="T37" s="136" t="s">
        <v>289</v>
      </c>
      <c r="U37" s="94" t="s">
        <v>82</v>
      </c>
      <c r="V37" s="75" t="s">
        <v>290</v>
      </c>
      <c r="W37" s="74" t="s">
        <v>291</v>
      </c>
      <c r="X37" s="132" t="s">
        <v>292</v>
      </c>
      <c r="Y37" s="77" t="s">
        <v>293</v>
      </c>
      <c r="Z37" s="75" t="s">
        <v>290</v>
      </c>
      <c r="AA37" s="133" t="s">
        <v>294</v>
      </c>
      <c r="AB37" s="39" t="s">
        <v>295</v>
      </c>
      <c r="AC37" s="83"/>
      <c r="AD37" s="83"/>
    </row>
    <row r="38" spans="1:33" ht="15.75" customHeight="1" x14ac:dyDescent="0.25">
      <c r="A38" s="88">
        <v>51</v>
      </c>
      <c r="B38" s="88" t="s">
        <v>263</v>
      </c>
      <c r="C38" s="88" t="s">
        <v>264</v>
      </c>
      <c r="D38" s="89" t="s">
        <v>296</v>
      </c>
      <c r="E38" s="90">
        <v>3339.63</v>
      </c>
      <c r="F38" s="91">
        <v>45371</v>
      </c>
      <c r="G38" s="26" t="s">
        <v>27</v>
      </c>
      <c r="H38" s="27">
        <v>49</v>
      </c>
      <c r="I38" s="29">
        <v>3267</v>
      </c>
      <c r="J38" s="30">
        <v>45634</v>
      </c>
      <c r="K38" s="31">
        <v>59</v>
      </c>
      <c r="L38" s="32" t="s">
        <v>2</v>
      </c>
      <c r="M38" s="135" t="s">
        <v>80</v>
      </c>
      <c r="N38" s="34" t="s">
        <v>96</v>
      </c>
      <c r="O38" s="35">
        <v>0</v>
      </c>
      <c r="P38" s="34" t="s">
        <v>96</v>
      </c>
      <c r="Q38" s="36" t="s">
        <v>96</v>
      </c>
      <c r="R38" s="37">
        <v>0</v>
      </c>
      <c r="S38" s="36" t="s">
        <v>96</v>
      </c>
      <c r="T38" s="136" t="s">
        <v>297</v>
      </c>
      <c r="U38" s="94" t="s">
        <v>82</v>
      </c>
      <c r="V38" s="75" t="s">
        <v>106</v>
      </c>
      <c r="W38" s="74" t="s">
        <v>298</v>
      </c>
      <c r="X38" s="132" t="s">
        <v>299</v>
      </c>
      <c r="Y38" s="77" t="s">
        <v>300</v>
      </c>
      <c r="Z38" s="75" t="s">
        <v>106</v>
      </c>
      <c r="AA38" s="132" t="s">
        <v>299</v>
      </c>
      <c r="AB38" s="39" t="s">
        <v>301</v>
      </c>
      <c r="AC38" s="83"/>
      <c r="AD38" s="83"/>
    </row>
    <row r="39" spans="1:33" ht="35.25" customHeight="1" x14ac:dyDescent="0.25">
      <c r="A39" s="88">
        <v>53</v>
      </c>
      <c r="B39" s="88" t="s">
        <v>263</v>
      </c>
      <c r="C39" s="88" t="s">
        <v>264</v>
      </c>
      <c r="D39" s="89" t="s">
        <v>302</v>
      </c>
      <c r="E39" s="90">
        <v>5610.23</v>
      </c>
      <c r="F39" s="91">
        <v>45371</v>
      </c>
      <c r="G39" s="26" t="s">
        <v>69</v>
      </c>
      <c r="H39" s="27">
        <v>79</v>
      </c>
      <c r="I39" s="29">
        <v>5610</v>
      </c>
      <c r="J39" s="30">
        <v>45485</v>
      </c>
      <c r="K39" s="31">
        <v>47</v>
      </c>
      <c r="L39" s="32" t="s">
        <v>2</v>
      </c>
      <c r="M39" s="87" t="s">
        <v>303</v>
      </c>
      <c r="N39" s="34">
        <v>0</v>
      </c>
      <c r="O39" s="35">
        <v>0</v>
      </c>
      <c r="P39" s="34">
        <f>N39-O39</f>
        <v>0</v>
      </c>
      <c r="Q39" s="36">
        <f>I39*H39/2</f>
        <v>221595</v>
      </c>
      <c r="R39" s="37">
        <v>221595</v>
      </c>
      <c r="S39" s="36">
        <f>Q39-R39</f>
        <v>0</v>
      </c>
      <c r="T39" s="136" t="s">
        <v>304</v>
      </c>
      <c r="U39" s="94" t="s">
        <v>82</v>
      </c>
      <c r="V39" s="75" t="s">
        <v>106</v>
      </c>
      <c r="W39" s="74" t="s">
        <v>305</v>
      </c>
      <c r="X39" s="132" t="s">
        <v>306</v>
      </c>
      <c r="Y39" s="77" t="s">
        <v>307</v>
      </c>
      <c r="Z39" s="75" t="s">
        <v>106</v>
      </c>
      <c r="AA39" s="132" t="s">
        <v>308</v>
      </c>
      <c r="AB39" s="39" t="s">
        <v>309</v>
      </c>
      <c r="AC39" s="83"/>
      <c r="AD39" s="83"/>
    </row>
    <row r="40" spans="1:33" ht="30.75" customHeight="1" x14ac:dyDescent="0.25">
      <c r="A40" s="90">
        <v>54</v>
      </c>
      <c r="B40" s="90" t="s">
        <v>263</v>
      </c>
      <c r="C40" s="90" t="s">
        <v>264</v>
      </c>
      <c r="D40" s="98" t="s">
        <v>310</v>
      </c>
      <c r="E40" s="90">
        <v>7200</v>
      </c>
      <c r="F40" s="91">
        <v>45371</v>
      </c>
      <c r="G40" s="26" t="s">
        <v>69</v>
      </c>
      <c r="H40" s="27">
        <v>79</v>
      </c>
      <c r="I40" s="29">
        <v>7222</v>
      </c>
      <c r="J40" s="30">
        <v>45389</v>
      </c>
      <c r="K40" s="31">
        <v>28</v>
      </c>
      <c r="L40" s="32" t="s">
        <v>2</v>
      </c>
      <c r="M40" s="135" t="s">
        <v>311</v>
      </c>
      <c r="N40" s="34">
        <v>0</v>
      </c>
      <c r="O40" s="35">
        <v>0</v>
      </c>
      <c r="P40" s="34">
        <f>N40-O40</f>
        <v>0</v>
      </c>
      <c r="Q40" s="36">
        <f>I40*H40/2</f>
        <v>285269</v>
      </c>
      <c r="R40" s="37">
        <v>285269</v>
      </c>
      <c r="S40" s="36">
        <f>Q40-R40</f>
        <v>0</v>
      </c>
      <c r="T40" s="136" t="s">
        <v>312</v>
      </c>
      <c r="U40" s="94" t="s">
        <v>82</v>
      </c>
      <c r="V40" s="75" t="s">
        <v>123</v>
      </c>
      <c r="W40" s="74" t="s">
        <v>313</v>
      </c>
      <c r="X40" s="132" t="s">
        <v>314</v>
      </c>
      <c r="Y40" s="77" t="s">
        <v>315</v>
      </c>
      <c r="Z40" s="75" t="s">
        <v>123</v>
      </c>
      <c r="AA40" s="133" t="s">
        <v>316</v>
      </c>
      <c r="AB40" s="39" t="s">
        <v>317</v>
      </c>
      <c r="AC40" s="83"/>
      <c r="AD40" s="83"/>
    </row>
    <row r="41" spans="1:33" ht="31.5" customHeight="1" x14ac:dyDescent="0.25">
      <c r="A41" s="90">
        <v>56</v>
      </c>
      <c r="B41" s="90" t="s">
        <v>263</v>
      </c>
      <c r="C41" s="90" t="s">
        <v>264</v>
      </c>
      <c r="D41" s="98" t="s">
        <v>318</v>
      </c>
      <c r="E41" s="90">
        <v>3422.17</v>
      </c>
      <c r="F41" s="91">
        <v>45371</v>
      </c>
      <c r="G41" s="26" t="s">
        <v>69</v>
      </c>
      <c r="H41" s="27">
        <v>79</v>
      </c>
      <c r="I41" s="29">
        <v>3422</v>
      </c>
      <c r="J41" s="30">
        <v>45484</v>
      </c>
      <c r="K41" s="31">
        <v>45</v>
      </c>
      <c r="L41" s="32" t="s">
        <v>2</v>
      </c>
      <c r="M41" s="135" t="s">
        <v>319</v>
      </c>
      <c r="N41" s="34">
        <v>0</v>
      </c>
      <c r="O41" s="35">
        <v>0</v>
      </c>
      <c r="P41" s="34">
        <f t="shared" ref="P41:P49" si="19">N41-O41</f>
        <v>0</v>
      </c>
      <c r="Q41" s="36">
        <f t="shared" ref="Q41:Q49" si="20">I41*H41/2</f>
        <v>135169</v>
      </c>
      <c r="R41" s="37">
        <v>135169</v>
      </c>
      <c r="S41" s="36">
        <f t="shared" ref="S41:S49" si="21">Q41-R41</f>
        <v>0</v>
      </c>
      <c r="T41" s="136" t="s">
        <v>320</v>
      </c>
      <c r="U41" s="94" t="s">
        <v>82</v>
      </c>
      <c r="V41" s="75" t="s">
        <v>106</v>
      </c>
      <c r="W41" s="74" t="s">
        <v>321</v>
      </c>
      <c r="X41" s="132" t="s">
        <v>318</v>
      </c>
      <c r="Y41" s="77" t="s">
        <v>322</v>
      </c>
      <c r="Z41" s="75" t="s">
        <v>106</v>
      </c>
      <c r="AA41" s="133" t="s">
        <v>323</v>
      </c>
      <c r="AB41" s="39" t="s">
        <v>324</v>
      </c>
      <c r="AC41" s="79"/>
      <c r="AD41" s="79"/>
    </row>
    <row r="42" spans="1:33" ht="31.5" customHeight="1" x14ac:dyDescent="0.25">
      <c r="A42" s="88">
        <v>57</v>
      </c>
      <c r="B42" s="88" t="s">
        <v>263</v>
      </c>
      <c r="C42" s="88" t="s">
        <v>264</v>
      </c>
      <c r="D42" s="89" t="s">
        <v>325</v>
      </c>
      <c r="E42" s="90">
        <v>4594.22</v>
      </c>
      <c r="F42" s="91">
        <v>45371</v>
      </c>
      <c r="G42" s="26" t="s">
        <v>69</v>
      </c>
      <c r="H42" s="27">
        <v>79</v>
      </c>
      <c r="I42" s="29">
        <v>4531</v>
      </c>
      <c r="J42" s="30">
        <v>45484</v>
      </c>
      <c r="K42" s="31">
        <v>36</v>
      </c>
      <c r="L42" s="32" t="s">
        <v>2</v>
      </c>
      <c r="M42" s="135" t="s">
        <v>326</v>
      </c>
      <c r="N42" s="34">
        <v>0</v>
      </c>
      <c r="O42" s="35">
        <v>0</v>
      </c>
      <c r="P42" s="34">
        <f t="shared" si="19"/>
        <v>0</v>
      </c>
      <c r="Q42" s="36">
        <f t="shared" si="20"/>
        <v>178974.5</v>
      </c>
      <c r="R42" s="37">
        <v>178975</v>
      </c>
      <c r="S42" s="36">
        <f t="shared" si="21"/>
        <v>-0.5</v>
      </c>
      <c r="T42" s="136" t="s">
        <v>327</v>
      </c>
      <c r="U42" s="94" t="s">
        <v>82</v>
      </c>
      <c r="V42" s="75" t="s">
        <v>106</v>
      </c>
      <c r="W42" s="74" t="s">
        <v>328</v>
      </c>
      <c r="X42" s="132" t="s">
        <v>329</v>
      </c>
      <c r="Y42" s="77" t="s">
        <v>330</v>
      </c>
      <c r="Z42" s="75" t="s">
        <v>106</v>
      </c>
      <c r="AA42" s="133" t="s">
        <v>331</v>
      </c>
      <c r="AB42" s="39" t="s">
        <v>332</v>
      </c>
      <c r="AC42" s="79"/>
      <c r="AD42" s="79"/>
    </row>
    <row r="43" spans="1:33" ht="33.75" customHeight="1" x14ac:dyDescent="0.25">
      <c r="A43" s="88">
        <v>59</v>
      </c>
      <c r="B43" s="88" t="s">
        <v>263</v>
      </c>
      <c r="C43" s="88" t="s">
        <v>264</v>
      </c>
      <c r="D43" s="89" t="s">
        <v>333</v>
      </c>
      <c r="E43" s="90">
        <v>4777.5</v>
      </c>
      <c r="F43" s="91">
        <v>45371</v>
      </c>
      <c r="G43" s="26" t="s">
        <v>69</v>
      </c>
      <c r="H43" s="27">
        <v>79</v>
      </c>
      <c r="I43" s="29">
        <v>4800</v>
      </c>
      <c r="J43" s="30">
        <v>45635</v>
      </c>
      <c r="K43" s="31">
        <v>30</v>
      </c>
      <c r="L43" s="32" t="s">
        <v>2</v>
      </c>
      <c r="M43" s="135" t="s">
        <v>334</v>
      </c>
      <c r="N43" s="34">
        <v>0</v>
      </c>
      <c r="O43" s="35">
        <v>0</v>
      </c>
      <c r="P43" s="34">
        <f t="shared" si="19"/>
        <v>0</v>
      </c>
      <c r="Q43" s="36">
        <f t="shared" si="20"/>
        <v>189600</v>
      </c>
      <c r="R43" s="131">
        <v>0</v>
      </c>
      <c r="S43" s="36">
        <f t="shared" si="21"/>
        <v>189600</v>
      </c>
      <c r="T43" s="136" t="s">
        <v>335</v>
      </c>
      <c r="U43" s="94" t="s">
        <v>82</v>
      </c>
      <c r="V43" s="75" t="s">
        <v>106</v>
      </c>
      <c r="W43" s="74" t="s">
        <v>336</v>
      </c>
      <c r="X43" s="132" t="s">
        <v>333</v>
      </c>
      <c r="Y43" s="77" t="s">
        <v>337</v>
      </c>
      <c r="Z43" s="75" t="s">
        <v>106</v>
      </c>
      <c r="AA43" s="133" t="s">
        <v>338</v>
      </c>
      <c r="AB43" s="39" t="s">
        <v>339</v>
      </c>
      <c r="AC43" s="79"/>
      <c r="AD43" s="79"/>
    </row>
    <row r="44" spans="1:33" ht="29.25" customHeight="1" x14ac:dyDescent="0.25">
      <c r="A44" s="90">
        <v>60</v>
      </c>
      <c r="B44" s="90" t="s">
        <v>263</v>
      </c>
      <c r="C44" s="90" t="s">
        <v>264</v>
      </c>
      <c r="D44" s="98" t="s">
        <v>340</v>
      </c>
      <c r="E44" s="90">
        <v>5038.28</v>
      </c>
      <c r="F44" s="91">
        <v>45371</v>
      </c>
      <c r="G44" s="26" t="s">
        <v>69</v>
      </c>
      <c r="H44" s="27">
        <v>79</v>
      </c>
      <c r="I44" s="29">
        <v>5038</v>
      </c>
      <c r="J44" s="30">
        <v>45399</v>
      </c>
      <c r="K44" s="31">
        <v>36</v>
      </c>
      <c r="L44" s="32" t="s">
        <v>2</v>
      </c>
      <c r="M44" s="135" t="s">
        <v>341</v>
      </c>
      <c r="N44" s="34">
        <v>0</v>
      </c>
      <c r="O44" s="35">
        <v>0</v>
      </c>
      <c r="P44" s="34">
        <f t="shared" si="19"/>
        <v>0</v>
      </c>
      <c r="Q44" s="36">
        <f t="shared" si="20"/>
        <v>199001</v>
      </c>
      <c r="R44" s="37">
        <v>199001</v>
      </c>
      <c r="S44" s="36">
        <f t="shared" si="21"/>
        <v>0</v>
      </c>
      <c r="T44" s="136" t="s">
        <v>342</v>
      </c>
      <c r="U44" s="94" t="s">
        <v>82</v>
      </c>
      <c r="V44" s="75" t="s">
        <v>106</v>
      </c>
      <c r="W44" s="74" t="s">
        <v>343</v>
      </c>
      <c r="X44" s="132" t="s">
        <v>344</v>
      </c>
      <c r="Y44" s="77" t="s">
        <v>345</v>
      </c>
      <c r="Z44" s="75" t="s">
        <v>106</v>
      </c>
      <c r="AA44" s="133" t="s">
        <v>346</v>
      </c>
      <c r="AB44" s="39" t="s">
        <v>347</v>
      </c>
      <c r="AC44" s="79"/>
      <c r="AD44" s="79"/>
    </row>
    <row r="45" spans="1:33" ht="28.5" customHeight="1" x14ac:dyDescent="0.25">
      <c r="A45" s="88">
        <v>61</v>
      </c>
      <c r="B45" s="88" t="s">
        <v>263</v>
      </c>
      <c r="C45" s="88" t="s">
        <v>264</v>
      </c>
      <c r="D45" s="89" t="s">
        <v>348</v>
      </c>
      <c r="E45" s="90">
        <v>6049.69</v>
      </c>
      <c r="F45" s="91">
        <v>45371</v>
      </c>
      <c r="G45" s="26" t="s">
        <v>69</v>
      </c>
      <c r="H45" s="27">
        <v>79</v>
      </c>
      <c r="I45" s="29">
        <v>6050</v>
      </c>
      <c r="J45" s="30">
        <v>45429</v>
      </c>
      <c r="K45" s="31">
        <v>39</v>
      </c>
      <c r="L45" s="32" t="s">
        <v>2</v>
      </c>
      <c r="M45" s="135" t="s">
        <v>349</v>
      </c>
      <c r="N45" s="34">
        <v>0</v>
      </c>
      <c r="O45" s="35">
        <v>0</v>
      </c>
      <c r="P45" s="34">
        <f t="shared" si="19"/>
        <v>0</v>
      </c>
      <c r="Q45" s="36">
        <f t="shared" si="20"/>
        <v>238975</v>
      </c>
      <c r="R45" s="37">
        <v>238975</v>
      </c>
      <c r="S45" s="36">
        <f t="shared" si="21"/>
        <v>0</v>
      </c>
      <c r="T45" s="136" t="s">
        <v>350</v>
      </c>
      <c r="U45" s="94" t="s">
        <v>82</v>
      </c>
      <c r="V45" s="75" t="s">
        <v>106</v>
      </c>
      <c r="W45" s="74" t="s">
        <v>351</v>
      </c>
      <c r="X45" s="132" t="s">
        <v>348</v>
      </c>
      <c r="Y45" s="77" t="s">
        <v>307</v>
      </c>
      <c r="Z45" s="75" t="s">
        <v>106</v>
      </c>
      <c r="AA45" s="133" t="s">
        <v>352</v>
      </c>
      <c r="AB45" s="39" t="s">
        <v>353</v>
      </c>
      <c r="AC45" s="79"/>
      <c r="AD45" s="79"/>
    </row>
    <row r="46" spans="1:33" ht="33" customHeight="1" x14ac:dyDescent="0.25">
      <c r="A46" s="90">
        <v>62</v>
      </c>
      <c r="B46" s="90" t="s">
        <v>263</v>
      </c>
      <c r="C46" s="90" t="s">
        <v>264</v>
      </c>
      <c r="D46" s="98" t="s">
        <v>354</v>
      </c>
      <c r="E46" s="90">
        <v>3667.5</v>
      </c>
      <c r="F46" s="91">
        <v>45371</v>
      </c>
      <c r="G46" s="26" t="s">
        <v>69</v>
      </c>
      <c r="H46" s="27">
        <v>79</v>
      </c>
      <c r="I46" s="29">
        <v>3666</v>
      </c>
      <c r="J46" s="30">
        <v>45391</v>
      </c>
      <c r="K46" s="31" t="s">
        <v>355</v>
      </c>
      <c r="L46" s="32" t="s">
        <v>2</v>
      </c>
      <c r="M46" s="87" t="s">
        <v>356</v>
      </c>
      <c r="N46" s="34">
        <v>0</v>
      </c>
      <c r="O46" s="35">
        <v>0</v>
      </c>
      <c r="P46" s="34">
        <f t="shared" si="19"/>
        <v>0</v>
      </c>
      <c r="Q46" s="36">
        <f t="shared" si="20"/>
        <v>144807</v>
      </c>
      <c r="R46" s="37">
        <v>129565</v>
      </c>
      <c r="S46" s="36">
        <f t="shared" si="21"/>
        <v>15242</v>
      </c>
      <c r="T46" s="136" t="s">
        <v>357</v>
      </c>
      <c r="U46" s="94" t="s">
        <v>82</v>
      </c>
      <c r="V46" s="75" t="s">
        <v>123</v>
      </c>
      <c r="W46" s="74" t="s">
        <v>358</v>
      </c>
      <c r="X46" s="132" t="s">
        <v>359</v>
      </c>
      <c r="Y46" s="77" t="s">
        <v>270</v>
      </c>
      <c r="Z46" s="75" t="s">
        <v>123</v>
      </c>
      <c r="AA46" s="132" t="s">
        <v>359</v>
      </c>
      <c r="AB46" s="39" t="s">
        <v>360</v>
      </c>
      <c r="AC46" s="83"/>
      <c r="AD46" s="83"/>
    </row>
    <row r="47" spans="1:33" ht="30" customHeight="1" x14ac:dyDescent="0.25">
      <c r="A47" s="90">
        <v>64</v>
      </c>
      <c r="B47" s="90" t="s">
        <v>263</v>
      </c>
      <c r="C47" s="90" t="s">
        <v>264</v>
      </c>
      <c r="D47" s="98" t="s">
        <v>361</v>
      </c>
      <c r="E47" s="90">
        <v>3053.48</v>
      </c>
      <c r="F47" s="91">
        <v>45372</v>
      </c>
      <c r="G47" s="26" t="s">
        <v>69</v>
      </c>
      <c r="H47" s="27">
        <v>79</v>
      </c>
      <c r="I47" s="29">
        <v>3053</v>
      </c>
      <c r="J47" s="30">
        <v>45406</v>
      </c>
      <c r="K47" s="31">
        <v>1</v>
      </c>
      <c r="L47" s="32" t="s">
        <v>2</v>
      </c>
      <c r="M47" s="87" t="s">
        <v>362</v>
      </c>
      <c r="N47" s="34">
        <v>0</v>
      </c>
      <c r="O47" s="35">
        <v>0</v>
      </c>
      <c r="P47" s="34">
        <f t="shared" si="19"/>
        <v>0</v>
      </c>
      <c r="Q47" s="36">
        <f t="shared" si="20"/>
        <v>120593.5</v>
      </c>
      <c r="R47" s="37">
        <v>6501</v>
      </c>
      <c r="S47" s="36">
        <f t="shared" si="21"/>
        <v>114092.5</v>
      </c>
      <c r="T47" s="136" t="s">
        <v>363</v>
      </c>
      <c r="U47" s="94" t="s">
        <v>82</v>
      </c>
      <c r="V47" s="75" t="s">
        <v>106</v>
      </c>
      <c r="W47" s="74" t="s">
        <v>364</v>
      </c>
      <c r="X47" s="132" t="s">
        <v>365</v>
      </c>
      <c r="Y47" s="77" t="s">
        <v>188</v>
      </c>
      <c r="Z47" s="75" t="s">
        <v>123</v>
      </c>
      <c r="AA47" s="132" t="s">
        <v>366</v>
      </c>
      <c r="AB47" s="39" t="s">
        <v>367</v>
      </c>
      <c r="AC47" s="83"/>
      <c r="AD47" s="83"/>
    </row>
    <row r="48" spans="1:33" ht="28.5" customHeight="1" x14ac:dyDescent="0.25">
      <c r="A48" s="88">
        <v>65</v>
      </c>
      <c r="B48" s="88" t="s">
        <v>263</v>
      </c>
      <c r="C48" s="88" t="s">
        <v>264</v>
      </c>
      <c r="D48" s="89" t="s">
        <v>368</v>
      </c>
      <c r="E48" s="90">
        <v>2111.6999999999998</v>
      </c>
      <c r="F48" s="91">
        <v>45371</v>
      </c>
      <c r="G48" s="26" t="s">
        <v>27</v>
      </c>
      <c r="H48" s="27">
        <v>74</v>
      </c>
      <c r="I48" s="29">
        <v>2111</v>
      </c>
      <c r="J48" s="30">
        <v>45470</v>
      </c>
      <c r="K48" s="31">
        <v>52</v>
      </c>
      <c r="L48" s="32" t="s">
        <v>2</v>
      </c>
      <c r="M48" s="135" t="s">
        <v>369</v>
      </c>
      <c r="N48" s="34">
        <v>0</v>
      </c>
      <c r="O48" s="35">
        <v>0</v>
      </c>
      <c r="P48" s="34">
        <f t="shared" si="19"/>
        <v>0</v>
      </c>
      <c r="Q48" s="36">
        <f t="shared" si="20"/>
        <v>78107</v>
      </c>
      <c r="R48" s="37">
        <v>78107</v>
      </c>
      <c r="S48" s="36">
        <f t="shared" si="21"/>
        <v>0</v>
      </c>
      <c r="T48" s="136" t="s">
        <v>370</v>
      </c>
      <c r="U48" s="94" t="s">
        <v>82</v>
      </c>
      <c r="V48" s="75" t="s">
        <v>106</v>
      </c>
      <c r="W48" s="74" t="s">
        <v>371</v>
      </c>
      <c r="X48" s="132" t="s">
        <v>372</v>
      </c>
      <c r="Y48" s="77" t="s">
        <v>373</v>
      </c>
      <c r="Z48" s="75" t="s">
        <v>106</v>
      </c>
      <c r="AA48" s="133" t="s">
        <v>374</v>
      </c>
      <c r="AB48" s="39" t="s">
        <v>375</v>
      </c>
      <c r="AC48" s="79"/>
      <c r="AD48" s="79"/>
    </row>
    <row r="49" spans="1:30" ht="34.5" customHeight="1" x14ac:dyDescent="0.25">
      <c r="A49" s="137">
        <v>66</v>
      </c>
      <c r="B49" s="137" t="s">
        <v>263</v>
      </c>
      <c r="C49" s="137" t="s">
        <v>264</v>
      </c>
      <c r="D49" s="138" t="s">
        <v>376</v>
      </c>
      <c r="E49" s="90">
        <v>2190.94</v>
      </c>
      <c r="F49" s="91">
        <v>45371</v>
      </c>
      <c r="G49" s="26" t="s">
        <v>69</v>
      </c>
      <c r="H49" s="27">
        <v>79</v>
      </c>
      <c r="I49" s="29">
        <v>2191</v>
      </c>
      <c r="J49" s="30">
        <v>45485</v>
      </c>
      <c r="K49" s="31">
        <v>37</v>
      </c>
      <c r="L49" s="32" t="s">
        <v>2</v>
      </c>
      <c r="M49" s="87" t="s">
        <v>362</v>
      </c>
      <c r="N49" s="34">
        <v>0</v>
      </c>
      <c r="O49" s="35">
        <v>0</v>
      </c>
      <c r="P49" s="34">
        <f t="shared" si="19"/>
        <v>0</v>
      </c>
      <c r="Q49" s="36">
        <f t="shared" si="20"/>
        <v>86544.5</v>
      </c>
      <c r="R49" s="37">
        <v>19599</v>
      </c>
      <c r="S49" s="36">
        <f t="shared" si="21"/>
        <v>66945.5</v>
      </c>
      <c r="T49" s="139" t="s">
        <v>2</v>
      </c>
      <c r="U49" s="139" t="s">
        <v>2</v>
      </c>
      <c r="V49" s="139" t="s">
        <v>2</v>
      </c>
      <c r="W49" s="139" t="s">
        <v>2</v>
      </c>
      <c r="X49" s="139" t="s">
        <v>2</v>
      </c>
      <c r="Y49" s="139" t="s">
        <v>2</v>
      </c>
      <c r="Z49" s="139" t="s">
        <v>2</v>
      </c>
      <c r="AA49" s="132" t="s">
        <v>377</v>
      </c>
      <c r="AB49" s="39" t="s">
        <v>378</v>
      </c>
      <c r="AC49" s="83"/>
      <c r="AD49" s="83"/>
    </row>
    <row r="50" spans="1:30" ht="30.75" customHeight="1" x14ac:dyDescent="0.25">
      <c r="A50" s="90">
        <v>72</v>
      </c>
      <c r="B50" s="90" t="s">
        <v>263</v>
      </c>
      <c r="C50" s="90" t="s">
        <v>264</v>
      </c>
      <c r="D50" s="98" t="s">
        <v>379</v>
      </c>
      <c r="E50" s="90">
        <v>1125</v>
      </c>
      <c r="F50" s="91">
        <v>45396</v>
      </c>
      <c r="G50" s="26" t="s">
        <v>27</v>
      </c>
      <c r="H50" s="27">
        <v>74</v>
      </c>
      <c r="I50" s="29">
        <v>1732</v>
      </c>
      <c r="J50" s="30">
        <v>45469</v>
      </c>
      <c r="K50" s="140" t="s">
        <v>380</v>
      </c>
      <c r="L50" s="32" t="s">
        <v>2</v>
      </c>
      <c r="M50" s="135" t="s">
        <v>381</v>
      </c>
      <c r="N50" s="34">
        <v>0</v>
      </c>
      <c r="O50" s="35">
        <v>0</v>
      </c>
      <c r="P50" s="34">
        <f>N50-O50</f>
        <v>0</v>
      </c>
      <c r="Q50" s="36">
        <f>I50*H50/2</f>
        <v>64084</v>
      </c>
      <c r="R50" s="37">
        <v>0</v>
      </c>
      <c r="S50" s="36">
        <f>Q50-R50</f>
        <v>64084</v>
      </c>
      <c r="T50" s="136" t="s">
        <v>382</v>
      </c>
      <c r="U50" s="94" t="s">
        <v>82</v>
      </c>
      <c r="V50" s="75" t="s">
        <v>383</v>
      </c>
      <c r="W50" s="74" t="s">
        <v>384</v>
      </c>
      <c r="X50" s="132" t="s">
        <v>385</v>
      </c>
      <c r="Y50" s="77" t="s">
        <v>337</v>
      </c>
      <c r="Z50" s="75" t="s">
        <v>383</v>
      </c>
      <c r="AA50" s="133" t="s">
        <v>386</v>
      </c>
      <c r="AB50" s="39" t="s">
        <v>387</v>
      </c>
      <c r="AC50" s="83"/>
      <c r="AD50" s="83"/>
    </row>
    <row r="51" spans="1:30" ht="28.5" customHeight="1" x14ac:dyDescent="0.25">
      <c r="A51" s="90">
        <v>74</v>
      </c>
      <c r="B51" s="90" t="s">
        <v>263</v>
      </c>
      <c r="C51" s="90" t="s">
        <v>264</v>
      </c>
      <c r="D51" s="98" t="s">
        <v>388</v>
      </c>
      <c r="E51" s="90">
        <v>4595.99</v>
      </c>
      <c r="F51" s="91">
        <v>45386</v>
      </c>
      <c r="G51" s="26" t="s">
        <v>27</v>
      </c>
      <c r="H51" s="27">
        <v>74</v>
      </c>
      <c r="I51" s="29">
        <v>4589</v>
      </c>
      <c r="J51" s="30">
        <v>45414</v>
      </c>
      <c r="K51" s="31">
        <v>62</v>
      </c>
      <c r="L51" s="32" t="s">
        <v>2</v>
      </c>
      <c r="M51" s="135" t="s">
        <v>389</v>
      </c>
      <c r="N51" s="34">
        <v>0</v>
      </c>
      <c r="O51" s="35">
        <v>0</v>
      </c>
      <c r="P51" s="34">
        <f>N51-O51</f>
        <v>0</v>
      </c>
      <c r="Q51" s="36">
        <f>I51*H51/2</f>
        <v>169793</v>
      </c>
      <c r="R51" s="37">
        <v>169793</v>
      </c>
      <c r="S51" s="36">
        <f>Q51-R51</f>
        <v>0</v>
      </c>
      <c r="T51" s="136" t="s">
        <v>390</v>
      </c>
      <c r="U51" s="94" t="s">
        <v>82</v>
      </c>
      <c r="V51" s="75" t="s">
        <v>123</v>
      </c>
      <c r="W51" s="74" t="s">
        <v>391</v>
      </c>
      <c r="X51" s="132" t="s">
        <v>392</v>
      </c>
      <c r="Y51" s="77" t="s">
        <v>270</v>
      </c>
      <c r="Z51" s="75" t="s">
        <v>123</v>
      </c>
      <c r="AA51" s="133" t="s">
        <v>393</v>
      </c>
      <c r="AB51" s="39" t="s">
        <v>394</v>
      </c>
      <c r="AC51" s="83"/>
      <c r="AD51" s="83"/>
    </row>
    <row r="52" spans="1:30" ht="33.75" customHeight="1" x14ac:dyDescent="0.25">
      <c r="A52" s="88">
        <v>75</v>
      </c>
      <c r="B52" s="88" t="s">
        <v>263</v>
      </c>
      <c r="C52" s="88" t="s">
        <v>264</v>
      </c>
      <c r="D52" s="89" t="s">
        <v>395</v>
      </c>
      <c r="E52" s="90">
        <v>2996.25</v>
      </c>
      <c r="F52" s="91">
        <v>45381</v>
      </c>
      <c r="G52" s="26" t="s">
        <v>69</v>
      </c>
      <c r="H52" s="27">
        <v>79</v>
      </c>
      <c r="I52" s="29">
        <v>2644</v>
      </c>
      <c r="J52" s="30">
        <v>45404</v>
      </c>
      <c r="K52" s="31">
        <v>26</v>
      </c>
      <c r="L52" s="32" t="s">
        <v>2</v>
      </c>
      <c r="M52" s="135" t="s">
        <v>80</v>
      </c>
      <c r="N52" s="34">
        <f>I52*50</f>
        <v>132200</v>
      </c>
      <c r="O52" s="35">
        <f>73405+7424</f>
        <v>80829</v>
      </c>
      <c r="P52" s="34">
        <f>N52-O52</f>
        <v>51371</v>
      </c>
      <c r="Q52" s="36">
        <f>I52*H52/2</f>
        <v>104438</v>
      </c>
      <c r="R52" s="37">
        <v>0</v>
      </c>
      <c r="S52" s="36">
        <f>Q52-R52</f>
        <v>104438</v>
      </c>
      <c r="T52" s="136" t="s">
        <v>396</v>
      </c>
      <c r="U52" s="94" t="s">
        <v>82</v>
      </c>
      <c r="V52" s="75" t="s">
        <v>383</v>
      </c>
      <c r="W52" s="74" t="s">
        <v>397</v>
      </c>
      <c r="X52" s="132" t="s">
        <v>398</v>
      </c>
      <c r="Y52" s="77" t="s">
        <v>399</v>
      </c>
      <c r="Z52" s="75" t="s">
        <v>383</v>
      </c>
      <c r="AA52" s="141" t="s">
        <v>400</v>
      </c>
      <c r="AB52" s="85" t="s">
        <v>401</v>
      </c>
      <c r="AC52" s="83"/>
      <c r="AD52" s="83"/>
    </row>
    <row r="53" spans="1:30" ht="32.25" customHeight="1" x14ac:dyDescent="0.25">
      <c r="A53" s="90">
        <v>76</v>
      </c>
      <c r="B53" s="90" t="s">
        <v>263</v>
      </c>
      <c r="C53" s="90" t="s">
        <v>264</v>
      </c>
      <c r="D53" s="98" t="s">
        <v>402</v>
      </c>
      <c r="E53" s="90">
        <v>5607.61</v>
      </c>
      <c r="F53" s="91">
        <v>45377</v>
      </c>
      <c r="G53" s="26" t="s">
        <v>27</v>
      </c>
      <c r="H53" s="27">
        <v>74</v>
      </c>
      <c r="I53" s="29">
        <v>5607</v>
      </c>
      <c r="J53" s="30">
        <v>45684</v>
      </c>
      <c r="K53" s="31">
        <v>63</v>
      </c>
      <c r="L53" s="32" t="s">
        <v>2</v>
      </c>
      <c r="M53" s="87" t="s">
        <v>362</v>
      </c>
      <c r="N53" s="34">
        <v>0</v>
      </c>
      <c r="O53" s="35">
        <v>0</v>
      </c>
      <c r="P53" s="34">
        <f>N53-O53</f>
        <v>0</v>
      </c>
      <c r="Q53" s="36">
        <f>I53*H53/2</f>
        <v>207459</v>
      </c>
      <c r="R53" s="37">
        <f>38399+169060</f>
        <v>207459</v>
      </c>
      <c r="S53" s="36">
        <f>Q53-R53</f>
        <v>0</v>
      </c>
      <c r="T53" s="136" t="s">
        <v>403</v>
      </c>
      <c r="U53" s="142" t="s">
        <v>82</v>
      </c>
      <c r="V53" s="142" t="s">
        <v>106</v>
      </c>
      <c r="W53" s="74" t="s">
        <v>404</v>
      </c>
      <c r="X53" s="95" t="s">
        <v>405</v>
      </c>
      <c r="Y53" s="77" t="s">
        <v>188</v>
      </c>
      <c r="Z53" s="75" t="s">
        <v>383</v>
      </c>
      <c r="AA53" s="85" t="s">
        <v>406</v>
      </c>
      <c r="AB53" s="39" t="s">
        <v>407</v>
      </c>
      <c r="AC53" s="83"/>
      <c r="AD53" s="83"/>
    </row>
    <row r="54" spans="1:30" ht="30" customHeight="1" x14ac:dyDescent="0.25">
      <c r="A54" s="88">
        <v>77</v>
      </c>
      <c r="B54" s="88" t="s">
        <v>263</v>
      </c>
      <c r="C54" s="88" t="s">
        <v>264</v>
      </c>
      <c r="D54" s="89" t="s">
        <v>408</v>
      </c>
      <c r="E54" s="90">
        <v>3093.75</v>
      </c>
      <c r="F54" s="91">
        <v>45366</v>
      </c>
      <c r="G54" s="26" t="s">
        <v>69</v>
      </c>
      <c r="H54" s="27">
        <v>79</v>
      </c>
      <c r="I54" s="29">
        <v>2736</v>
      </c>
      <c r="J54" s="30">
        <v>45476</v>
      </c>
      <c r="K54" s="31">
        <v>27</v>
      </c>
      <c r="L54" s="32" t="s">
        <v>55</v>
      </c>
      <c r="M54" s="135" t="s">
        <v>409</v>
      </c>
      <c r="N54" s="34">
        <v>0</v>
      </c>
      <c r="O54" s="35">
        <v>0</v>
      </c>
      <c r="P54" s="34">
        <f>N54-O54</f>
        <v>0</v>
      </c>
      <c r="Q54" s="36">
        <f>I54*H54/2</f>
        <v>108072</v>
      </c>
      <c r="R54" s="37">
        <v>97855</v>
      </c>
      <c r="S54" s="36">
        <f>Q54-R54</f>
        <v>10217</v>
      </c>
      <c r="T54" s="136" t="s">
        <v>410</v>
      </c>
      <c r="U54" s="94" t="s">
        <v>82</v>
      </c>
      <c r="V54" s="75" t="s">
        <v>123</v>
      </c>
      <c r="W54" s="74" t="s">
        <v>411</v>
      </c>
      <c r="X54" s="132" t="s">
        <v>412</v>
      </c>
      <c r="Y54" s="77" t="s">
        <v>126</v>
      </c>
      <c r="Z54" s="75" t="s">
        <v>123</v>
      </c>
      <c r="AA54" s="133" t="s">
        <v>412</v>
      </c>
      <c r="AB54" s="39" t="s">
        <v>413</v>
      </c>
      <c r="AC54" s="83"/>
      <c r="AD54" s="83"/>
    </row>
    <row r="55" spans="1:30" ht="31.5" customHeight="1" x14ac:dyDescent="0.25">
      <c r="A55" s="88">
        <v>79</v>
      </c>
      <c r="B55" s="88" t="s">
        <v>263</v>
      </c>
      <c r="C55" s="88" t="s">
        <v>264</v>
      </c>
      <c r="D55" s="89" t="s">
        <v>414</v>
      </c>
      <c r="E55" s="90">
        <v>7069.5</v>
      </c>
      <c r="F55" s="91">
        <v>45366</v>
      </c>
      <c r="G55" s="26" t="s">
        <v>69</v>
      </c>
      <c r="H55" s="27">
        <v>79</v>
      </c>
      <c r="I55" s="29">
        <v>7069</v>
      </c>
      <c r="J55" s="30">
        <v>45469</v>
      </c>
      <c r="K55" s="31">
        <v>9</v>
      </c>
      <c r="L55" s="32" t="s">
        <v>2</v>
      </c>
      <c r="M55" s="135" t="s">
        <v>415</v>
      </c>
      <c r="N55" s="34">
        <v>0</v>
      </c>
      <c r="O55" s="35">
        <v>0</v>
      </c>
      <c r="P55" s="34">
        <f>N55-O55</f>
        <v>0</v>
      </c>
      <c r="Q55" s="36">
        <f>I55*H55/2</f>
        <v>279225.5</v>
      </c>
      <c r="R55" s="37">
        <v>128723</v>
      </c>
      <c r="S55" s="36">
        <f>Q55-R55</f>
        <v>150502.5</v>
      </c>
      <c r="T55" s="136" t="s">
        <v>416</v>
      </c>
      <c r="U55" s="94" t="s">
        <v>82</v>
      </c>
      <c r="V55" s="75" t="s">
        <v>48</v>
      </c>
      <c r="W55" s="74" t="s">
        <v>417</v>
      </c>
      <c r="X55" s="132" t="s">
        <v>414</v>
      </c>
      <c r="Y55" s="77" t="s">
        <v>418</v>
      </c>
      <c r="Z55" s="75" t="s">
        <v>48</v>
      </c>
      <c r="AA55" s="133" t="s">
        <v>419</v>
      </c>
      <c r="AB55" s="39" t="s">
        <v>420</v>
      </c>
      <c r="AC55" s="83"/>
      <c r="AD55" s="83"/>
    </row>
    <row r="56" spans="1:30" ht="33.75" customHeight="1" x14ac:dyDescent="0.25">
      <c r="A56" s="88">
        <v>81</v>
      </c>
      <c r="B56" s="88" t="s">
        <v>263</v>
      </c>
      <c r="C56" s="88" t="s">
        <v>264</v>
      </c>
      <c r="D56" s="89" t="s">
        <v>421</v>
      </c>
      <c r="E56" s="90">
        <v>3212.55</v>
      </c>
      <c r="F56" s="91">
        <v>45366</v>
      </c>
      <c r="G56" s="26" t="s">
        <v>69</v>
      </c>
      <c r="H56" s="27">
        <v>79</v>
      </c>
      <c r="I56" s="29">
        <v>3200</v>
      </c>
      <c r="J56" s="30">
        <v>45432</v>
      </c>
      <c r="K56" s="31">
        <v>33</v>
      </c>
      <c r="L56" s="32" t="s">
        <v>2</v>
      </c>
      <c r="M56" s="135" t="s">
        <v>422</v>
      </c>
      <c r="N56" s="34">
        <v>0</v>
      </c>
      <c r="O56" s="35">
        <v>0</v>
      </c>
      <c r="P56" s="34">
        <f>N56-O56</f>
        <v>0</v>
      </c>
      <c r="Q56" s="36">
        <f>I56*H56/2</f>
        <v>126400</v>
      </c>
      <c r="R56" s="37">
        <v>126400</v>
      </c>
      <c r="S56" s="36">
        <f>Q56-R56</f>
        <v>0</v>
      </c>
      <c r="T56" s="136" t="s">
        <v>423</v>
      </c>
      <c r="U56" s="94" t="s">
        <v>82</v>
      </c>
      <c r="V56" s="75" t="s">
        <v>48</v>
      </c>
      <c r="W56" s="74" t="s">
        <v>424</v>
      </c>
      <c r="X56" s="132" t="s">
        <v>425</v>
      </c>
      <c r="Y56" s="77" t="s">
        <v>426</v>
      </c>
      <c r="Z56" s="75" t="s">
        <v>48</v>
      </c>
      <c r="AA56" s="133" t="s">
        <v>427</v>
      </c>
      <c r="AB56" s="39" t="s">
        <v>428</v>
      </c>
      <c r="AC56" s="83"/>
      <c r="AD56" s="83"/>
    </row>
    <row r="57" spans="1:30" ht="29.25" customHeight="1" x14ac:dyDescent="0.25">
      <c r="A57" s="90">
        <v>82</v>
      </c>
      <c r="B57" s="90" t="s">
        <v>263</v>
      </c>
      <c r="C57" s="90" t="s">
        <v>264</v>
      </c>
      <c r="D57" s="98" t="s">
        <v>429</v>
      </c>
      <c r="E57" s="90">
        <v>2671.88</v>
      </c>
      <c r="F57" s="91">
        <v>45370</v>
      </c>
      <c r="G57" s="26" t="s">
        <v>27</v>
      </c>
      <c r="H57" s="27">
        <v>74</v>
      </c>
      <c r="I57" s="29">
        <v>2672</v>
      </c>
      <c r="J57" s="30">
        <v>45427</v>
      </c>
      <c r="K57" s="31">
        <v>31</v>
      </c>
      <c r="L57" s="32" t="s">
        <v>2</v>
      </c>
      <c r="M57" s="135" t="s">
        <v>430</v>
      </c>
      <c r="N57" s="34">
        <v>0</v>
      </c>
      <c r="O57" s="35">
        <v>0</v>
      </c>
      <c r="P57" s="34">
        <f>N57-O57</f>
        <v>0</v>
      </c>
      <c r="Q57" s="36">
        <f>I57*H57/2</f>
        <v>98864</v>
      </c>
      <c r="R57" s="37">
        <v>98864</v>
      </c>
      <c r="S57" s="36">
        <f>Q57-R57</f>
        <v>0</v>
      </c>
      <c r="T57" s="136" t="s">
        <v>431</v>
      </c>
      <c r="U57" s="94" t="s">
        <v>82</v>
      </c>
      <c r="V57" s="75" t="s">
        <v>83</v>
      </c>
      <c r="W57" s="74" t="s">
        <v>432</v>
      </c>
      <c r="X57" s="132" t="s">
        <v>433</v>
      </c>
      <c r="Y57" s="77" t="s">
        <v>434</v>
      </c>
      <c r="Z57" s="75" t="s">
        <v>83</v>
      </c>
      <c r="AA57" s="133" t="s">
        <v>433</v>
      </c>
      <c r="AB57" s="39" t="s">
        <v>435</v>
      </c>
      <c r="AC57" s="83"/>
      <c r="AD57" s="83"/>
    </row>
    <row r="58" spans="1:30" ht="34.5" customHeight="1" x14ac:dyDescent="0.25">
      <c r="A58" s="90">
        <v>84</v>
      </c>
      <c r="B58" s="90" t="s">
        <v>263</v>
      </c>
      <c r="C58" s="90" t="s">
        <v>264</v>
      </c>
      <c r="D58" s="98" t="s">
        <v>436</v>
      </c>
      <c r="E58" s="90">
        <v>5848.5</v>
      </c>
      <c r="F58" s="91">
        <v>45370</v>
      </c>
      <c r="G58" s="26" t="s">
        <v>27</v>
      </c>
      <c r="H58" s="27">
        <v>74</v>
      </c>
      <c r="I58" s="29">
        <v>5828</v>
      </c>
      <c r="J58" s="30">
        <v>45491</v>
      </c>
      <c r="K58" s="31">
        <v>56</v>
      </c>
      <c r="L58" s="32" t="s">
        <v>2</v>
      </c>
      <c r="M58" s="135" t="s">
        <v>80</v>
      </c>
      <c r="N58" s="34">
        <v>291400</v>
      </c>
      <c r="O58" s="35">
        <v>0</v>
      </c>
      <c r="P58" s="34">
        <f>N58-O58</f>
        <v>291400</v>
      </c>
      <c r="Q58" s="36">
        <f>I58*H58/2</f>
        <v>215636</v>
      </c>
      <c r="R58" s="37">
        <f>173196+1661</f>
        <v>174857</v>
      </c>
      <c r="S58" s="36">
        <f>Q58-R58</f>
        <v>40779</v>
      </c>
      <c r="T58" s="136" t="s">
        <v>437</v>
      </c>
      <c r="U58" s="94" t="s">
        <v>82</v>
      </c>
      <c r="V58" s="75" t="s">
        <v>132</v>
      </c>
      <c r="W58" s="74" t="s">
        <v>438</v>
      </c>
      <c r="X58" s="132" t="s">
        <v>439</v>
      </c>
      <c r="Y58" s="77" t="s">
        <v>440</v>
      </c>
      <c r="Z58" s="75" t="s">
        <v>132</v>
      </c>
      <c r="AA58" s="133" t="s">
        <v>439</v>
      </c>
      <c r="AB58" s="39" t="s">
        <v>441</v>
      </c>
      <c r="AC58" s="83"/>
      <c r="AD58" s="83"/>
    </row>
    <row r="59" spans="1:30" ht="34.5" customHeight="1" x14ac:dyDescent="0.25">
      <c r="A59" s="90">
        <v>85</v>
      </c>
      <c r="B59" s="90" t="s">
        <v>263</v>
      </c>
      <c r="C59" s="90" t="s">
        <v>264</v>
      </c>
      <c r="D59" s="98" t="s">
        <v>442</v>
      </c>
      <c r="E59" s="90">
        <v>4950</v>
      </c>
      <c r="F59" s="91">
        <v>45367</v>
      </c>
      <c r="G59" s="26" t="s">
        <v>69</v>
      </c>
      <c r="H59" s="27">
        <v>79</v>
      </c>
      <c r="I59" s="29">
        <v>4440</v>
      </c>
      <c r="J59" s="30">
        <v>45432</v>
      </c>
      <c r="K59" s="31">
        <v>61</v>
      </c>
      <c r="L59" s="32" t="s">
        <v>2</v>
      </c>
      <c r="M59" s="135" t="s">
        <v>422</v>
      </c>
      <c r="N59" s="34">
        <v>0</v>
      </c>
      <c r="O59" s="35">
        <v>0</v>
      </c>
      <c r="P59" s="34">
        <f>N59-O59</f>
        <v>0</v>
      </c>
      <c r="Q59" s="36">
        <f>I59*H59/2</f>
        <v>175380</v>
      </c>
      <c r="R59" s="37">
        <v>175380</v>
      </c>
      <c r="S59" s="36">
        <f>Q59-R59</f>
        <v>0</v>
      </c>
      <c r="T59" s="136" t="s">
        <v>443</v>
      </c>
      <c r="U59" s="94" t="s">
        <v>82</v>
      </c>
      <c r="V59" s="75" t="s">
        <v>90</v>
      </c>
      <c r="W59" s="74" t="s">
        <v>444</v>
      </c>
      <c r="X59" s="132" t="s">
        <v>445</v>
      </c>
      <c r="Y59" s="77" t="s">
        <v>446</v>
      </c>
      <c r="Z59" s="75" t="s">
        <v>90</v>
      </c>
      <c r="AA59" s="133" t="s">
        <v>338</v>
      </c>
      <c r="AB59" s="39" t="s">
        <v>339</v>
      </c>
      <c r="AC59" s="83"/>
      <c r="AD59" s="83"/>
    </row>
    <row r="60" spans="1:30" ht="30" customHeight="1" x14ac:dyDescent="0.25">
      <c r="A60" s="90">
        <v>86</v>
      </c>
      <c r="B60" s="90" t="s">
        <v>263</v>
      </c>
      <c r="C60" s="90" t="s">
        <v>264</v>
      </c>
      <c r="D60" s="98" t="s">
        <v>447</v>
      </c>
      <c r="E60" s="90">
        <v>4358.63</v>
      </c>
      <c r="F60" s="91">
        <v>45367</v>
      </c>
      <c r="G60" s="26" t="s">
        <v>69</v>
      </c>
      <c r="H60" s="27">
        <v>79</v>
      </c>
      <c r="I60" s="29">
        <v>4359</v>
      </c>
      <c r="J60" s="30">
        <v>45442</v>
      </c>
      <c r="K60" s="31">
        <v>55</v>
      </c>
      <c r="L60" s="32" t="s">
        <v>2</v>
      </c>
      <c r="M60" s="135" t="s">
        <v>389</v>
      </c>
      <c r="N60" s="34">
        <v>0</v>
      </c>
      <c r="O60" s="35">
        <v>0</v>
      </c>
      <c r="P60" s="34">
        <f>N60-O60</f>
        <v>0</v>
      </c>
      <c r="Q60" s="36">
        <f>I60*H60/2</f>
        <v>172180.5</v>
      </c>
      <c r="R60" s="37">
        <v>172181</v>
      </c>
      <c r="S60" s="36">
        <f>Q60-R60</f>
        <v>-0.5</v>
      </c>
      <c r="T60" s="136" t="s">
        <v>448</v>
      </c>
      <c r="U60" s="94" t="s">
        <v>82</v>
      </c>
      <c r="V60" s="75" t="s">
        <v>170</v>
      </c>
      <c r="W60" s="74" t="s">
        <v>449</v>
      </c>
      <c r="X60" s="132" t="s">
        <v>450</v>
      </c>
      <c r="Y60" s="77" t="s">
        <v>451</v>
      </c>
      <c r="Z60" s="75" t="s">
        <v>170</v>
      </c>
      <c r="AA60" s="133" t="s">
        <v>452</v>
      </c>
      <c r="AB60" s="39" t="s">
        <v>453</v>
      </c>
      <c r="AC60" s="83"/>
      <c r="AD60" s="83"/>
    </row>
    <row r="61" spans="1:30" ht="30" customHeight="1" x14ac:dyDescent="0.25">
      <c r="A61" s="90">
        <v>88</v>
      </c>
      <c r="B61" s="90" t="s">
        <v>263</v>
      </c>
      <c r="C61" s="90" t="s">
        <v>264</v>
      </c>
      <c r="D61" s="98" t="s">
        <v>454</v>
      </c>
      <c r="E61" s="90">
        <v>1761.75</v>
      </c>
      <c r="F61" s="91">
        <v>45369</v>
      </c>
      <c r="G61" s="26" t="s">
        <v>69</v>
      </c>
      <c r="H61" s="27">
        <v>79</v>
      </c>
      <c r="I61" s="29">
        <v>1761</v>
      </c>
      <c r="J61" s="30">
        <v>45486</v>
      </c>
      <c r="K61" s="31" t="s">
        <v>355</v>
      </c>
      <c r="L61" s="32" t="s">
        <v>55</v>
      </c>
      <c r="M61" s="135" t="s">
        <v>422</v>
      </c>
      <c r="N61" s="34">
        <v>0</v>
      </c>
      <c r="O61" s="35">
        <v>0</v>
      </c>
      <c r="P61" s="34">
        <f t="shared" ref="P61:P67" si="22">N61-O61</f>
        <v>0</v>
      </c>
      <c r="Q61" s="36">
        <f t="shared" ref="Q61:Q67" si="23">I61*H61/2</f>
        <v>69559.5</v>
      </c>
      <c r="R61" s="37">
        <v>69560</v>
      </c>
      <c r="S61" s="36">
        <f t="shared" ref="S61:S67" si="24">Q61-R61</f>
        <v>-0.5</v>
      </c>
      <c r="T61" s="136" t="s">
        <v>455</v>
      </c>
      <c r="U61" s="94" t="s">
        <v>82</v>
      </c>
      <c r="V61" s="75" t="s">
        <v>48</v>
      </c>
      <c r="W61" s="74" t="s">
        <v>456</v>
      </c>
      <c r="X61" s="132" t="s">
        <v>457</v>
      </c>
      <c r="Y61" s="77" t="s">
        <v>458</v>
      </c>
      <c r="Z61" s="75" t="s">
        <v>48</v>
      </c>
      <c r="AA61" s="133" t="s">
        <v>412</v>
      </c>
      <c r="AB61" s="39" t="s">
        <v>413</v>
      </c>
      <c r="AC61" s="83"/>
      <c r="AD61" s="83"/>
    </row>
    <row r="62" spans="1:30" ht="30.75" customHeight="1" x14ac:dyDescent="0.25">
      <c r="A62" s="88">
        <v>89</v>
      </c>
      <c r="B62" s="88" t="s">
        <v>263</v>
      </c>
      <c r="C62" s="88" t="s">
        <v>264</v>
      </c>
      <c r="D62" s="89" t="s">
        <v>459</v>
      </c>
      <c r="E62" s="90">
        <v>1819.17</v>
      </c>
      <c r="F62" s="91">
        <v>45368</v>
      </c>
      <c r="G62" s="26" t="s">
        <v>27</v>
      </c>
      <c r="H62" s="27">
        <v>74</v>
      </c>
      <c r="I62" s="29">
        <v>1819</v>
      </c>
      <c r="J62" s="30">
        <v>45432</v>
      </c>
      <c r="K62" s="31">
        <v>57</v>
      </c>
      <c r="L62" s="32" t="s">
        <v>2</v>
      </c>
      <c r="M62" s="135" t="s">
        <v>460</v>
      </c>
      <c r="N62" s="34">
        <v>0</v>
      </c>
      <c r="O62" s="35">
        <v>0</v>
      </c>
      <c r="P62" s="34">
        <f t="shared" si="22"/>
        <v>0</v>
      </c>
      <c r="Q62" s="36">
        <f t="shared" si="23"/>
        <v>67303</v>
      </c>
      <c r="R62" s="37">
        <v>67303</v>
      </c>
      <c r="S62" s="36">
        <f t="shared" si="24"/>
        <v>0</v>
      </c>
      <c r="T62" s="136" t="s">
        <v>461</v>
      </c>
      <c r="U62" s="94" t="s">
        <v>82</v>
      </c>
      <c r="V62" s="75" t="s">
        <v>48</v>
      </c>
      <c r="W62" s="74" t="s">
        <v>462</v>
      </c>
      <c r="X62" s="132" t="s">
        <v>141</v>
      </c>
      <c r="Y62" s="77" t="s">
        <v>426</v>
      </c>
      <c r="Z62" s="75" t="s">
        <v>48</v>
      </c>
      <c r="AA62" s="133" t="s">
        <v>463</v>
      </c>
      <c r="AB62" s="39" t="s">
        <v>464</v>
      </c>
      <c r="AC62" s="83"/>
      <c r="AD62" s="83"/>
    </row>
    <row r="63" spans="1:30" ht="32.25" customHeight="1" x14ac:dyDescent="0.25">
      <c r="A63" s="90">
        <v>90</v>
      </c>
      <c r="B63" s="90" t="s">
        <v>263</v>
      </c>
      <c r="C63" s="90" t="s">
        <v>264</v>
      </c>
      <c r="D63" s="98" t="s">
        <v>465</v>
      </c>
      <c r="E63" s="90">
        <v>5709.58</v>
      </c>
      <c r="F63" s="91">
        <v>45371</v>
      </c>
      <c r="G63" s="26" t="s">
        <v>69</v>
      </c>
      <c r="H63" s="27">
        <v>79</v>
      </c>
      <c r="I63" s="29">
        <v>5709</v>
      </c>
      <c r="J63" s="30">
        <v>45489</v>
      </c>
      <c r="K63" s="31">
        <v>43</v>
      </c>
      <c r="L63" s="32" t="s">
        <v>2</v>
      </c>
      <c r="M63" s="135" t="s">
        <v>466</v>
      </c>
      <c r="N63" s="34">
        <v>0</v>
      </c>
      <c r="O63" s="35">
        <v>0</v>
      </c>
      <c r="P63" s="34">
        <f t="shared" si="22"/>
        <v>0</v>
      </c>
      <c r="Q63" s="36">
        <f t="shared" si="23"/>
        <v>225505.5</v>
      </c>
      <c r="R63" s="37">
        <v>225506</v>
      </c>
      <c r="S63" s="36">
        <f t="shared" si="24"/>
        <v>-0.5</v>
      </c>
      <c r="T63" s="136" t="s">
        <v>467</v>
      </c>
      <c r="U63" s="94" t="s">
        <v>82</v>
      </c>
      <c r="V63" s="75" t="s">
        <v>170</v>
      </c>
      <c r="W63" s="74" t="s">
        <v>468</v>
      </c>
      <c r="X63" s="132" t="s">
        <v>469</v>
      </c>
      <c r="Y63" s="77" t="s">
        <v>470</v>
      </c>
      <c r="Z63" s="75" t="s">
        <v>170</v>
      </c>
      <c r="AA63" s="133" t="s">
        <v>469</v>
      </c>
      <c r="AB63" s="39" t="s">
        <v>471</v>
      </c>
      <c r="AC63" s="83"/>
      <c r="AD63" s="83"/>
    </row>
    <row r="64" spans="1:30" ht="35.25" customHeight="1" x14ac:dyDescent="0.25">
      <c r="A64" s="88">
        <v>91</v>
      </c>
      <c r="B64" s="88" t="s">
        <v>263</v>
      </c>
      <c r="C64" s="88" t="s">
        <v>264</v>
      </c>
      <c r="D64" s="89" t="s">
        <v>472</v>
      </c>
      <c r="E64" s="90">
        <v>6433.13</v>
      </c>
      <c r="F64" s="91">
        <v>45370</v>
      </c>
      <c r="G64" s="26" t="s">
        <v>69</v>
      </c>
      <c r="H64" s="27">
        <v>79</v>
      </c>
      <c r="I64" s="29">
        <v>6433</v>
      </c>
      <c r="J64" s="30">
        <v>45470</v>
      </c>
      <c r="K64" s="31">
        <v>58</v>
      </c>
      <c r="L64" s="32" t="s">
        <v>2</v>
      </c>
      <c r="M64" s="135" t="s">
        <v>389</v>
      </c>
      <c r="N64" s="34">
        <v>0</v>
      </c>
      <c r="O64" s="35">
        <v>0</v>
      </c>
      <c r="P64" s="34">
        <f t="shared" si="22"/>
        <v>0</v>
      </c>
      <c r="Q64" s="36">
        <f t="shared" si="23"/>
        <v>254103.5</v>
      </c>
      <c r="R64" s="37">
        <v>254104</v>
      </c>
      <c r="S64" s="36">
        <f t="shared" si="24"/>
        <v>-0.5</v>
      </c>
      <c r="T64" s="136" t="s">
        <v>473</v>
      </c>
      <c r="U64" s="94" t="s">
        <v>82</v>
      </c>
      <c r="V64" s="75" t="s">
        <v>474</v>
      </c>
      <c r="W64" s="74" t="s">
        <v>475</v>
      </c>
      <c r="X64" s="132" t="s">
        <v>476</v>
      </c>
      <c r="Y64" s="77" t="s">
        <v>477</v>
      </c>
      <c r="Z64" s="75" t="s">
        <v>474</v>
      </c>
      <c r="AA64" s="133" t="s">
        <v>478</v>
      </c>
      <c r="AB64" s="39" t="s">
        <v>479</v>
      </c>
      <c r="AC64" s="83"/>
      <c r="AD64" s="83"/>
    </row>
    <row r="65" spans="1:30" ht="34.5" customHeight="1" x14ac:dyDescent="0.25">
      <c r="A65" s="90">
        <v>92</v>
      </c>
      <c r="B65" s="90" t="s">
        <v>263</v>
      </c>
      <c r="C65" s="90" t="s">
        <v>263</v>
      </c>
      <c r="D65" s="98" t="s">
        <v>480</v>
      </c>
      <c r="E65" s="90">
        <v>3624.75</v>
      </c>
      <c r="F65" s="91">
        <v>45371</v>
      </c>
      <c r="G65" s="26" t="s">
        <v>69</v>
      </c>
      <c r="H65" s="27">
        <v>79</v>
      </c>
      <c r="I65" s="29">
        <v>3548</v>
      </c>
      <c r="J65" s="30">
        <v>45380</v>
      </c>
      <c r="K65" s="31">
        <v>1</v>
      </c>
      <c r="L65" s="32" t="s">
        <v>2</v>
      </c>
      <c r="M65" s="87" t="s">
        <v>80</v>
      </c>
      <c r="N65" s="72">
        <v>177400</v>
      </c>
      <c r="O65" s="35">
        <v>177400</v>
      </c>
      <c r="P65" s="72">
        <f t="shared" si="22"/>
        <v>0</v>
      </c>
      <c r="Q65" s="36">
        <f t="shared" si="23"/>
        <v>140146</v>
      </c>
      <c r="R65" s="37">
        <v>140146</v>
      </c>
      <c r="S65" s="36">
        <f t="shared" si="24"/>
        <v>0</v>
      </c>
      <c r="T65" s="136" t="s">
        <v>481</v>
      </c>
      <c r="U65" s="143" t="s">
        <v>82</v>
      </c>
      <c r="V65" s="144" t="s">
        <v>482</v>
      </c>
      <c r="W65" s="74" t="s">
        <v>483</v>
      </c>
      <c r="X65" s="95" t="s">
        <v>484</v>
      </c>
      <c r="Y65" s="77" t="s">
        <v>485</v>
      </c>
      <c r="Z65" s="145" t="s">
        <v>482</v>
      </c>
      <c r="AA65" s="95" t="s">
        <v>484</v>
      </c>
      <c r="AB65" s="39" t="s">
        <v>486</v>
      </c>
      <c r="AC65" s="83"/>
      <c r="AD65" s="83"/>
    </row>
    <row r="66" spans="1:30" ht="36.75" customHeight="1" x14ac:dyDescent="0.25">
      <c r="A66" s="88">
        <v>93</v>
      </c>
      <c r="B66" s="88" t="s">
        <v>263</v>
      </c>
      <c r="C66" s="88" t="s">
        <v>263</v>
      </c>
      <c r="D66" s="89" t="s">
        <v>487</v>
      </c>
      <c r="E66" s="90">
        <v>1248.75</v>
      </c>
      <c r="F66" s="91">
        <v>45369</v>
      </c>
      <c r="G66" s="26" t="s">
        <v>27</v>
      </c>
      <c r="H66" s="27">
        <v>74</v>
      </c>
      <c r="I66" s="29">
        <v>842</v>
      </c>
      <c r="J66" s="30">
        <v>45388</v>
      </c>
      <c r="K66" s="31" t="s">
        <v>488</v>
      </c>
      <c r="L66" s="32" t="s">
        <v>2</v>
      </c>
      <c r="M66" s="87" t="s">
        <v>489</v>
      </c>
      <c r="N66" s="34">
        <v>0</v>
      </c>
      <c r="O66" s="35">
        <v>0</v>
      </c>
      <c r="P66" s="34">
        <f t="shared" si="22"/>
        <v>0</v>
      </c>
      <c r="Q66" s="36">
        <f t="shared" si="23"/>
        <v>31154</v>
      </c>
      <c r="R66" s="37">
        <v>0</v>
      </c>
      <c r="S66" s="36">
        <f t="shared" si="24"/>
        <v>31154</v>
      </c>
      <c r="T66" s="136" t="s">
        <v>490</v>
      </c>
      <c r="U66" s="143" t="s">
        <v>82</v>
      </c>
      <c r="V66" s="142" t="s">
        <v>106</v>
      </c>
      <c r="W66" s="74" t="s">
        <v>491</v>
      </c>
      <c r="X66" s="133" t="s">
        <v>492</v>
      </c>
      <c r="Y66" s="77" t="s">
        <v>493</v>
      </c>
      <c r="Z66" s="146" t="s">
        <v>106</v>
      </c>
      <c r="AA66" s="147" t="s">
        <v>494</v>
      </c>
      <c r="AB66" s="39" t="s">
        <v>495</v>
      </c>
      <c r="AC66" s="83"/>
      <c r="AD66" s="83"/>
    </row>
    <row r="67" spans="1:30" ht="37.5" customHeight="1" x14ac:dyDescent="0.25">
      <c r="A67" s="90">
        <v>94</v>
      </c>
      <c r="B67" s="90" t="s">
        <v>263</v>
      </c>
      <c r="C67" s="90" t="s">
        <v>263</v>
      </c>
      <c r="D67" s="98" t="s">
        <v>496</v>
      </c>
      <c r="E67" s="90">
        <v>4769.32</v>
      </c>
      <c r="F67" s="91">
        <v>45369</v>
      </c>
      <c r="G67" s="26" t="s">
        <v>69</v>
      </c>
      <c r="H67" s="27">
        <v>79</v>
      </c>
      <c r="I67" s="29">
        <v>4759</v>
      </c>
      <c r="J67" s="30">
        <v>45390</v>
      </c>
      <c r="K67" s="31">
        <v>81</v>
      </c>
      <c r="L67" s="32" t="s">
        <v>2</v>
      </c>
      <c r="M67" s="87" t="s">
        <v>497</v>
      </c>
      <c r="N67" s="34">
        <v>0</v>
      </c>
      <c r="O67" s="35">
        <v>0</v>
      </c>
      <c r="P67" s="34">
        <f t="shared" si="22"/>
        <v>0</v>
      </c>
      <c r="Q67" s="36">
        <f t="shared" si="23"/>
        <v>187980.5</v>
      </c>
      <c r="R67" s="37">
        <v>187981</v>
      </c>
      <c r="S67" s="36">
        <f t="shared" si="24"/>
        <v>-0.5</v>
      </c>
      <c r="T67" s="136" t="s">
        <v>498</v>
      </c>
      <c r="U67" s="143" t="s">
        <v>82</v>
      </c>
      <c r="V67" s="148" t="s">
        <v>48</v>
      </c>
      <c r="W67" s="74" t="s">
        <v>499</v>
      </c>
      <c r="X67" s="133" t="s">
        <v>500</v>
      </c>
      <c r="Y67" s="77" t="s">
        <v>501</v>
      </c>
      <c r="Z67" s="75" t="s">
        <v>48</v>
      </c>
      <c r="AA67" s="85" t="s">
        <v>502</v>
      </c>
      <c r="AB67" s="39" t="s">
        <v>503</v>
      </c>
      <c r="AC67" s="83"/>
      <c r="AD67" s="83"/>
    </row>
    <row r="68" spans="1:30" ht="41.25" customHeight="1" x14ac:dyDescent="0.25">
      <c r="A68" s="90">
        <v>96</v>
      </c>
      <c r="B68" s="90" t="s">
        <v>263</v>
      </c>
      <c r="C68" s="90" t="s">
        <v>263</v>
      </c>
      <c r="D68" s="98" t="s">
        <v>504</v>
      </c>
      <c r="E68" s="90">
        <v>4516.3100000000004</v>
      </c>
      <c r="F68" s="91">
        <v>45367</v>
      </c>
      <c r="G68" s="26" t="s">
        <v>69</v>
      </c>
      <c r="H68" s="27">
        <v>79</v>
      </c>
      <c r="I68" s="29">
        <v>3416</v>
      </c>
      <c r="J68" s="30">
        <v>45380</v>
      </c>
      <c r="K68" s="31">
        <v>89</v>
      </c>
      <c r="L68" s="32" t="s">
        <v>2</v>
      </c>
      <c r="M68" s="87" t="s">
        <v>497</v>
      </c>
      <c r="N68" s="34">
        <v>0</v>
      </c>
      <c r="O68" s="35">
        <v>0</v>
      </c>
      <c r="P68" s="34">
        <f>N68-O68</f>
        <v>0</v>
      </c>
      <c r="Q68" s="36">
        <f>I68*H68/2</f>
        <v>134932</v>
      </c>
      <c r="R68" s="37">
        <v>134932</v>
      </c>
      <c r="S68" s="36">
        <f>Q68-R68</f>
        <v>0</v>
      </c>
      <c r="T68" s="136" t="s">
        <v>505</v>
      </c>
      <c r="U68" s="142">
        <v>624000</v>
      </c>
      <c r="V68" s="142" t="s">
        <v>106</v>
      </c>
      <c r="W68" s="74" t="s">
        <v>506</v>
      </c>
      <c r="X68" s="149" t="s">
        <v>504</v>
      </c>
      <c r="Y68" s="77" t="s">
        <v>399</v>
      </c>
      <c r="Z68" s="146" t="s">
        <v>106</v>
      </c>
      <c r="AA68" s="141" t="s">
        <v>507</v>
      </c>
      <c r="AB68" s="39" t="s">
        <v>508</v>
      </c>
      <c r="AC68" s="83"/>
      <c r="AD68" s="83"/>
    </row>
    <row r="69" spans="1:30" s="155" customFormat="1" ht="35.25" customHeight="1" x14ac:dyDescent="0.25">
      <c r="A69" s="90">
        <v>97</v>
      </c>
      <c r="B69" s="90" t="s">
        <v>263</v>
      </c>
      <c r="C69" s="90" t="s">
        <v>263</v>
      </c>
      <c r="D69" s="98" t="s">
        <v>509</v>
      </c>
      <c r="E69" s="90">
        <v>3687.91</v>
      </c>
      <c r="F69" s="91">
        <v>45370</v>
      </c>
      <c r="G69" s="26" t="s">
        <v>69</v>
      </c>
      <c r="H69" s="27">
        <v>54</v>
      </c>
      <c r="I69" s="29">
        <v>3688</v>
      </c>
      <c r="J69" s="30">
        <v>45390</v>
      </c>
      <c r="K69" s="31">
        <v>108</v>
      </c>
      <c r="L69" s="32" t="s">
        <v>2</v>
      </c>
      <c r="M69" s="150" t="s">
        <v>96</v>
      </c>
      <c r="N69" s="150" t="s">
        <v>96</v>
      </c>
      <c r="O69" s="151" t="s">
        <v>96</v>
      </c>
      <c r="P69" s="150" t="s">
        <v>96</v>
      </c>
      <c r="Q69" s="99" t="s">
        <v>96</v>
      </c>
      <c r="R69" s="100" t="s">
        <v>96</v>
      </c>
      <c r="S69" s="99" t="s">
        <v>96</v>
      </c>
      <c r="T69" s="100" t="s">
        <v>96</v>
      </c>
      <c r="U69" s="100" t="s">
        <v>96</v>
      </c>
      <c r="V69" s="100" t="s">
        <v>96</v>
      </c>
      <c r="W69" s="74" t="s">
        <v>510</v>
      </c>
      <c r="X69" s="77" t="s">
        <v>511</v>
      </c>
      <c r="Y69" s="152" t="s">
        <v>512</v>
      </c>
      <c r="Z69" s="153" t="s">
        <v>513</v>
      </c>
      <c r="AA69" s="154" t="s">
        <v>514</v>
      </c>
      <c r="AB69" s="77" t="s">
        <v>515</v>
      </c>
      <c r="AC69" s="83"/>
      <c r="AD69" s="83"/>
    </row>
    <row r="70" spans="1:30" ht="36" customHeight="1" x14ac:dyDescent="0.25">
      <c r="A70" s="90">
        <v>98</v>
      </c>
      <c r="B70" s="90" t="s">
        <v>263</v>
      </c>
      <c r="C70" s="90" t="s">
        <v>263</v>
      </c>
      <c r="D70" s="98" t="s">
        <v>516</v>
      </c>
      <c r="E70" s="90">
        <v>5326.52</v>
      </c>
      <c r="F70" s="91">
        <v>45370</v>
      </c>
      <c r="G70" s="26" t="s">
        <v>69</v>
      </c>
      <c r="H70" s="27">
        <v>79</v>
      </c>
      <c r="I70" s="29">
        <v>5324</v>
      </c>
      <c r="J70" s="30">
        <v>45390</v>
      </c>
      <c r="K70" s="31">
        <v>119</v>
      </c>
      <c r="L70" s="32" t="s">
        <v>2</v>
      </c>
      <c r="M70" s="87" t="s">
        <v>517</v>
      </c>
      <c r="N70" s="34">
        <v>0</v>
      </c>
      <c r="O70" s="35">
        <v>0</v>
      </c>
      <c r="P70" s="34">
        <f>N70-O70</f>
        <v>0</v>
      </c>
      <c r="Q70" s="36">
        <f>I70*H70/2</f>
        <v>210298</v>
      </c>
      <c r="R70" s="37">
        <v>210298</v>
      </c>
      <c r="S70" s="36">
        <f>Q70-R70</f>
        <v>0</v>
      </c>
      <c r="T70" s="136" t="s">
        <v>518</v>
      </c>
      <c r="U70" s="143" t="s">
        <v>82</v>
      </c>
      <c r="V70" s="148" t="s">
        <v>123</v>
      </c>
      <c r="W70" s="74" t="s">
        <v>519</v>
      </c>
      <c r="X70" s="95" t="s">
        <v>520</v>
      </c>
      <c r="Y70" s="77" t="s">
        <v>521</v>
      </c>
      <c r="Z70" s="75" t="s">
        <v>123</v>
      </c>
      <c r="AA70" s="85" t="s">
        <v>522</v>
      </c>
      <c r="AB70" s="39" t="s">
        <v>523</v>
      </c>
      <c r="AC70" s="83"/>
      <c r="AD70" s="83"/>
    </row>
    <row r="71" spans="1:30" ht="35.25" customHeight="1" x14ac:dyDescent="0.25">
      <c r="A71" s="90">
        <v>100</v>
      </c>
      <c r="B71" s="90" t="s">
        <v>263</v>
      </c>
      <c r="C71" s="90" t="s">
        <v>263</v>
      </c>
      <c r="D71" s="98" t="s">
        <v>524</v>
      </c>
      <c r="E71" s="90">
        <v>4953</v>
      </c>
      <c r="F71" s="91">
        <v>45370</v>
      </c>
      <c r="G71" s="26" t="s">
        <v>69</v>
      </c>
      <c r="H71" s="27">
        <v>54</v>
      </c>
      <c r="I71" s="29">
        <v>4953</v>
      </c>
      <c r="J71" s="30">
        <v>45411</v>
      </c>
      <c r="K71" s="31">
        <v>129</v>
      </c>
      <c r="L71" s="32" t="s">
        <v>55</v>
      </c>
      <c r="M71" s="122" t="s">
        <v>96</v>
      </c>
      <c r="N71" s="122" t="s">
        <v>96</v>
      </c>
      <c r="O71" s="35" t="s">
        <v>96</v>
      </c>
      <c r="P71" s="34" t="s">
        <v>96</v>
      </c>
      <c r="Q71" s="36" t="s">
        <v>96</v>
      </c>
      <c r="R71" s="156" t="s">
        <v>96</v>
      </c>
      <c r="S71" s="36" t="s">
        <v>96</v>
      </c>
      <c r="T71" s="136" t="s">
        <v>96</v>
      </c>
      <c r="U71" s="143" t="s">
        <v>96</v>
      </c>
      <c r="V71" s="157" t="s">
        <v>96</v>
      </c>
      <c r="W71" s="74" t="s">
        <v>525</v>
      </c>
      <c r="X71" s="158" t="s">
        <v>526</v>
      </c>
      <c r="Y71" s="77" t="s">
        <v>527</v>
      </c>
      <c r="Z71" s="75" t="s">
        <v>106</v>
      </c>
      <c r="AA71" s="85" t="s">
        <v>528</v>
      </c>
      <c r="AB71" s="39" t="s">
        <v>529</v>
      </c>
      <c r="AC71" s="83"/>
      <c r="AD71" s="83"/>
    </row>
    <row r="72" spans="1:30" ht="36" customHeight="1" x14ac:dyDescent="0.25">
      <c r="A72" s="88">
        <v>101</v>
      </c>
      <c r="B72" s="88" t="s">
        <v>263</v>
      </c>
      <c r="C72" s="88" t="s">
        <v>263</v>
      </c>
      <c r="D72" s="89" t="s">
        <v>530</v>
      </c>
      <c r="E72" s="90">
        <v>5690.63</v>
      </c>
      <c r="F72" s="91">
        <v>45367</v>
      </c>
      <c r="G72" s="26" t="s">
        <v>69</v>
      </c>
      <c r="H72" s="27">
        <v>79</v>
      </c>
      <c r="I72" s="29">
        <v>5690</v>
      </c>
      <c r="J72" s="30">
        <v>45388</v>
      </c>
      <c r="K72" s="31">
        <v>85</v>
      </c>
      <c r="L72" s="32" t="s">
        <v>2</v>
      </c>
      <c r="M72" s="87" t="s">
        <v>4</v>
      </c>
      <c r="N72" s="34">
        <f>I72*50</f>
        <v>284500</v>
      </c>
      <c r="O72" s="35">
        <v>284500</v>
      </c>
      <c r="P72" s="34">
        <f>N72-O72</f>
        <v>0</v>
      </c>
      <c r="Q72" s="36">
        <f>I72*H72/2</f>
        <v>224755</v>
      </c>
      <c r="R72" s="37">
        <v>224755</v>
      </c>
      <c r="S72" s="36">
        <f>Q72-R72</f>
        <v>0</v>
      </c>
      <c r="T72" s="136" t="s">
        <v>531</v>
      </c>
      <c r="U72" s="143" t="s">
        <v>82</v>
      </c>
      <c r="V72" s="157" t="s">
        <v>90</v>
      </c>
      <c r="W72" s="74" t="s">
        <v>532</v>
      </c>
      <c r="X72" s="158" t="s">
        <v>533</v>
      </c>
      <c r="Y72" s="77" t="s">
        <v>534</v>
      </c>
      <c r="Z72" s="75" t="s">
        <v>90</v>
      </c>
      <c r="AA72" s="158" t="s">
        <v>535</v>
      </c>
      <c r="AB72" s="39" t="s">
        <v>536</v>
      </c>
      <c r="AC72" s="83"/>
      <c r="AD72" s="83"/>
    </row>
    <row r="73" spans="1:30" ht="34.5" customHeight="1" x14ac:dyDescent="0.25">
      <c r="A73" s="90">
        <v>102</v>
      </c>
      <c r="B73" s="90" t="s">
        <v>263</v>
      </c>
      <c r="C73" s="90" t="s">
        <v>263</v>
      </c>
      <c r="D73" s="98" t="s">
        <v>537</v>
      </c>
      <c r="E73" s="90">
        <v>2848.13</v>
      </c>
      <c r="F73" s="91">
        <v>45366</v>
      </c>
      <c r="G73" s="26" t="s">
        <v>69</v>
      </c>
      <c r="H73" s="27">
        <v>79</v>
      </c>
      <c r="I73" s="29">
        <v>2848</v>
      </c>
      <c r="J73" s="30">
        <v>45371</v>
      </c>
      <c r="K73" s="31">
        <v>126</v>
      </c>
      <c r="L73" s="32" t="s">
        <v>2</v>
      </c>
      <c r="M73" s="87" t="s">
        <v>538</v>
      </c>
      <c r="N73" s="34">
        <v>0</v>
      </c>
      <c r="O73" s="35">
        <v>0</v>
      </c>
      <c r="P73" s="34">
        <f>N73-O73</f>
        <v>0</v>
      </c>
      <c r="Q73" s="36">
        <f>I73*H73/2</f>
        <v>112496</v>
      </c>
      <c r="R73" s="37">
        <v>112496</v>
      </c>
      <c r="S73" s="36">
        <f>Q73-R73</f>
        <v>0</v>
      </c>
      <c r="T73" s="136" t="s">
        <v>539</v>
      </c>
      <c r="U73" s="143">
        <v>745000</v>
      </c>
      <c r="V73" s="157" t="s">
        <v>48</v>
      </c>
      <c r="W73" s="74" t="s">
        <v>540</v>
      </c>
      <c r="X73" s="95" t="s">
        <v>541</v>
      </c>
      <c r="Y73" s="77" t="s">
        <v>542</v>
      </c>
      <c r="Z73" s="75" t="s">
        <v>48</v>
      </c>
      <c r="AA73" s="159" t="s">
        <v>543</v>
      </c>
      <c r="AB73" s="39" t="s">
        <v>544</v>
      </c>
      <c r="AC73" s="83"/>
      <c r="AD73" s="83"/>
    </row>
    <row r="74" spans="1:30" ht="35.25" customHeight="1" x14ac:dyDescent="0.25">
      <c r="A74" s="88">
        <v>103</v>
      </c>
      <c r="B74" s="88" t="s">
        <v>263</v>
      </c>
      <c r="C74" s="88" t="s">
        <v>263</v>
      </c>
      <c r="D74" s="89" t="s">
        <v>545</v>
      </c>
      <c r="E74" s="90">
        <v>5827.5</v>
      </c>
      <c r="F74" s="91">
        <v>45366</v>
      </c>
      <c r="G74" s="26" t="s">
        <v>69</v>
      </c>
      <c r="H74" s="27">
        <v>79</v>
      </c>
      <c r="I74" s="29">
        <v>4178</v>
      </c>
      <c r="J74" s="30">
        <v>45374</v>
      </c>
      <c r="K74" s="31">
        <v>116</v>
      </c>
      <c r="L74" s="32" t="s">
        <v>2</v>
      </c>
      <c r="M74" s="87" t="s">
        <v>546</v>
      </c>
      <c r="N74" s="34">
        <v>0</v>
      </c>
      <c r="O74" s="35">
        <v>0</v>
      </c>
      <c r="P74" s="34">
        <f>N74-O74</f>
        <v>0</v>
      </c>
      <c r="Q74" s="36">
        <f>I74*H74/2</f>
        <v>165031</v>
      </c>
      <c r="R74" s="37">
        <v>165031</v>
      </c>
      <c r="S74" s="36">
        <f>Q74-R74</f>
        <v>0</v>
      </c>
      <c r="T74" s="136" t="s">
        <v>547</v>
      </c>
      <c r="U74" s="142">
        <v>1298660</v>
      </c>
      <c r="V74" s="142" t="s">
        <v>170</v>
      </c>
      <c r="W74" s="74" t="s">
        <v>548</v>
      </c>
      <c r="X74" s="149" t="s">
        <v>545</v>
      </c>
      <c r="Y74" s="77" t="s">
        <v>549</v>
      </c>
      <c r="Z74" s="146" t="s">
        <v>170</v>
      </c>
      <c r="AA74" s="39" t="s">
        <v>550</v>
      </c>
      <c r="AB74" s="39" t="s">
        <v>551</v>
      </c>
      <c r="AC74" s="83"/>
      <c r="AD74" s="83"/>
    </row>
    <row r="75" spans="1:30" ht="48.75" customHeight="1" x14ac:dyDescent="0.25">
      <c r="A75" s="90">
        <v>106</v>
      </c>
      <c r="B75" s="90" t="s">
        <v>263</v>
      </c>
      <c r="C75" s="90" t="s">
        <v>263</v>
      </c>
      <c r="D75" s="98" t="s">
        <v>552</v>
      </c>
      <c r="E75" s="90">
        <v>5317.63</v>
      </c>
      <c r="F75" s="91">
        <v>45366</v>
      </c>
      <c r="G75" s="160" t="s">
        <v>69</v>
      </c>
      <c r="H75" s="161">
        <v>79</v>
      </c>
      <c r="I75" s="162">
        <v>4125</v>
      </c>
      <c r="J75" s="163">
        <v>45391</v>
      </c>
      <c r="K75" s="164" t="s">
        <v>553</v>
      </c>
      <c r="L75" s="165" t="s">
        <v>2</v>
      </c>
      <c r="M75" s="166" t="s">
        <v>554</v>
      </c>
      <c r="N75" s="167">
        <v>0</v>
      </c>
      <c r="O75" s="168">
        <v>0</v>
      </c>
      <c r="P75" s="167">
        <f>N75-O75</f>
        <v>0</v>
      </c>
      <c r="Q75" s="169">
        <f>I75*H75/2</f>
        <v>162937.5</v>
      </c>
      <c r="R75" s="170">
        <v>162938</v>
      </c>
      <c r="S75" s="169">
        <f>Q75-R75</f>
        <v>-0.5</v>
      </c>
      <c r="T75" s="171" t="s">
        <v>555</v>
      </c>
      <c r="U75" s="172" t="s">
        <v>82</v>
      </c>
      <c r="V75" s="173" t="s">
        <v>556</v>
      </c>
      <c r="W75" s="174" t="s">
        <v>557</v>
      </c>
      <c r="X75" s="175" t="s">
        <v>558</v>
      </c>
      <c r="Y75" s="176" t="s">
        <v>559</v>
      </c>
      <c r="Z75" s="177" t="s">
        <v>556</v>
      </c>
      <c r="AA75" s="178" t="s">
        <v>560</v>
      </c>
      <c r="AB75" s="178" t="s">
        <v>561</v>
      </c>
      <c r="AC75" s="179"/>
      <c r="AD75" s="179"/>
    </row>
    <row r="76" spans="1:30" ht="33.75" customHeight="1" x14ac:dyDescent="0.25">
      <c r="A76" s="88">
        <v>107</v>
      </c>
      <c r="B76" s="88" t="s">
        <v>263</v>
      </c>
      <c r="C76" s="88" t="s">
        <v>263</v>
      </c>
      <c r="D76" s="89" t="s">
        <v>562</v>
      </c>
      <c r="E76" s="90">
        <v>5062.5</v>
      </c>
      <c r="F76" s="91">
        <v>45366</v>
      </c>
      <c r="G76" s="26" t="s">
        <v>69</v>
      </c>
      <c r="H76" s="27">
        <v>79</v>
      </c>
      <c r="I76" s="29">
        <v>4968</v>
      </c>
      <c r="J76" s="30">
        <v>45387</v>
      </c>
      <c r="K76" s="31">
        <v>54</v>
      </c>
      <c r="L76" s="32" t="s">
        <v>55</v>
      </c>
      <c r="M76" s="87" t="s">
        <v>563</v>
      </c>
      <c r="N76" s="34">
        <v>0</v>
      </c>
      <c r="O76" s="35">
        <v>0</v>
      </c>
      <c r="P76" s="34">
        <f>N76-O76</f>
        <v>0</v>
      </c>
      <c r="Q76" s="36">
        <f>I76*H76/2</f>
        <v>196236</v>
      </c>
      <c r="R76" s="37">
        <v>196236</v>
      </c>
      <c r="S76" s="36">
        <f>Q76-R76</f>
        <v>0</v>
      </c>
      <c r="T76" s="136" t="s">
        <v>47</v>
      </c>
      <c r="U76" s="142" t="s">
        <v>82</v>
      </c>
      <c r="V76" s="180" t="s">
        <v>57</v>
      </c>
      <c r="W76" s="74" t="s">
        <v>564</v>
      </c>
      <c r="X76" s="149" t="s">
        <v>562</v>
      </c>
      <c r="Y76" s="77" t="s">
        <v>565</v>
      </c>
      <c r="Z76" s="181" t="s">
        <v>57</v>
      </c>
      <c r="AA76" s="149" t="s">
        <v>562</v>
      </c>
      <c r="AB76" s="39" t="s">
        <v>566</v>
      </c>
      <c r="AC76" s="83"/>
      <c r="AD76" s="83"/>
    </row>
    <row r="77" spans="1:30" ht="35.25" customHeight="1" x14ac:dyDescent="0.25">
      <c r="A77" s="90">
        <v>108</v>
      </c>
      <c r="B77" s="90" t="s">
        <v>263</v>
      </c>
      <c r="C77" s="90" t="s">
        <v>263</v>
      </c>
      <c r="D77" s="98" t="s">
        <v>567</v>
      </c>
      <c r="E77" s="90">
        <v>5503.59</v>
      </c>
      <c r="F77" s="91">
        <v>45372</v>
      </c>
      <c r="G77" s="26" t="s">
        <v>27</v>
      </c>
      <c r="H77" s="27">
        <v>74</v>
      </c>
      <c r="I77" s="29">
        <v>5504</v>
      </c>
      <c r="J77" s="30">
        <v>45386</v>
      </c>
      <c r="K77" s="31">
        <v>128</v>
      </c>
      <c r="L77" s="32" t="s">
        <v>2</v>
      </c>
      <c r="M77" s="87" t="s">
        <v>568</v>
      </c>
      <c r="N77" s="34">
        <v>0</v>
      </c>
      <c r="O77" s="35">
        <v>0</v>
      </c>
      <c r="P77" s="34">
        <f>N77-O77</f>
        <v>0</v>
      </c>
      <c r="Q77" s="36">
        <f>I77*H77/2</f>
        <v>203648</v>
      </c>
      <c r="R77" s="37">
        <f>46658+18826</f>
        <v>65484</v>
      </c>
      <c r="S77" s="36">
        <f>Q77-R77</f>
        <v>138164</v>
      </c>
      <c r="T77" s="136" t="s">
        <v>569</v>
      </c>
      <c r="U77" s="142" t="s">
        <v>82</v>
      </c>
      <c r="V77" s="180" t="s">
        <v>570</v>
      </c>
      <c r="W77" s="74" t="s">
        <v>571</v>
      </c>
      <c r="X77" s="149"/>
      <c r="Y77" s="77" t="s">
        <v>572</v>
      </c>
      <c r="Z77" s="181" t="s">
        <v>570</v>
      </c>
      <c r="AA77" s="182" t="s">
        <v>573</v>
      </c>
      <c r="AB77" s="39" t="s">
        <v>574</v>
      </c>
      <c r="AC77" s="83"/>
      <c r="AD77" s="83"/>
    </row>
    <row r="78" spans="1:30" ht="36.75" customHeight="1" x14ac:dyDescent="0.25">
      <c r="A78" s="90">
        <v>110</v>
      </c>
      <c r="B78" s="90" t="s">
        <v>263</v>
      </c>
      <c r="C78" s="90" t="s">
        <v>263</v>
      </c>
      <c r="D78" s="98" t="s">
        <v>575</v>
      </c>
      <c r="E78" s="90">
        <v>3031.88</v>
      </c>
      <c r="F78" s="91">
        <v>45401</v>
      </c>
      <c r="G78" s="26" t="s">
        <v>69</v>
      </c>
      <c r="H78" s="27">
        <v>79</v>
      </c>
      <c r="I78" s="29">
        <v>1531.88</v>
      </c>
      <c r="J78" s="30">
        <v>45429</v>
      </c>
      <c r="K78" s="31">
        <v>92</v>
      </c>
      <c r="L78" s="32" t="s">
        <v>2</v>
      </c>
      <c r="M78" s="87" t="s">
        <v>497</v>
      </c>
      <c r="N78" s="34">
        <v>0</v>
      </c>
      <c r="O78" s="35">
        <v>0</v>
      </c>
      <c r="P78" s="34">
        <f>N78-O78</f>
        <v>0</v>
      </c>
      <c r="Q78" s="36">
        <f>I78*H78/2</f>
        <v>60509.26</v>
      </c>
      <c r="R78" s="37">
        <v>60509</v>
      </c>
      <c r="S78" s="36">
        <f>Q78-R78</f>
        <v>0.26000000000203727</v>
      </c>
      <c r="T78" s="136" t="s">
        <v>576</v>
      </c>
      <c r="U78" s="142" t="s">
        <v>82</v>
      </c>
      <c r="V78" s="180" t="s">
        <v>290</v>
      </c>
      <c r="W78" s="74" t="s">
        <v>577</v>
      </c>
      <c r="X78" s="149" t="s">
        <v>359</v>
      </c>
      <c r="Y78" s="77" t="s">
        <v>578</v>
      </c>
      <c r="Z78" s="181" t="s">
        <v>290</v>
      </c>
      <c r="AA78" s="149" t="s">
        <v>579</v>
      </c>
      <c r="AB78" s="39" t="s">
        <v>580</v>
      </c>
      <c r="AC78" s="83"/>
      <c r="AD78" s="83"/>
    </row>
    <row r="79" spans="1:30" s="23" customFormat="1" ht="33.75" customHeight="1" x14ac:dyDescent="0.25">
      <c r="A79" s="90">
        <v>111</v>
      </c>
      <c r="B79" s="90" t="s">
        <v>263</v>
      </c>
      <c r="C79" s="90" t="s">
        <v>263</v>
      </c>
      <c r="D79" s="98" t="s">
        <v>581</v>
      </c>
      <c r="E79" s="90">
        <v>5692.5</v>
      </c>
      <c r="F79" s="91">
        <v>45371</v>
      </c>
      <c r="G79" s="26" t="s">
        <v>27</v>
      </c>
      <c r="H79" s="27">
        <v>49</v>
      </c>
      <c r="I79" s="29">
        <v>5203</v>
      </c>
      <c r="J79" s="30">
        <v>45387</v>
      </c>
      <c r="K79" s="31"/>
      <c r="L79" s="32" t="s">
        <v>2</v>
      </c>
      <c r="M79" s="183" t="s">
        <v>96</v>
      </c>
      <c r="N79" s="183" t="s">
        <v>96</v>
      </c>
      <c r="O79" s="184" t="s">
        <v>96</v>
      </c>
      <c r="P79" s="184" t="s">
        <v>96</v>
      </c>
      <c r="Q79" s="185" t="s">
        <v>96</v>
      </c>
      <c r="R79" s="185" t="s">
        <v>96</v>
      </c>
      <c r="S79" s="185" t="s">
        <v>96</v>
      </c>
      <c r="T79" s="185" t="s">
        <v>96</v>
      </c>
      <c r="U79" s="185" t="s">
        <v>96</v>
      </c>
      <c r="V79" s="185" t="s">
        <v>96</v>
      </c>
      <c r="W79" s="186" t="s">
        <v>582</v>
      </c>
      <c r="X79" s="187" t="s">
        <v>583</v>
      </c>
      <c r="Y79" s="188" t="s">
        <v>584</v>
      </c>
      <c r="Z79" s="189" t="s">
        <v>383</v>
      </c>
      <c r="AA79" s="189" t="s">
        <v>585</v>
      </c>
      <c r="AB79" s="188" t="s">
        <v>586</v>
      </c>
      <c r="AC79" s="190"/>
      <c r="AD79" s="190"/>
    </row>
    <row r="80" spans="1:30" ht="42" customHeight="1" x14ac:dyDescent="0.25">
      <c r="A80" s="90">
        <v>112</v>
      </c>
      <c r="B80" s="90" t="s">
        <v>263</v>
      </c>
      <c r="C80" s="90" t="s">
        <v>263</v>
      </c>
      <c r="D80" s="98" t="s">
        <v>587</v>
      </c>
      <c r="E80" s="90">
        <v>4138.3100000000004</v>
      </c>
      <c r="F80" s="91">
        <v>45371</v>
      </c>
      <c r="G80" s="26" t="s">
        <v>27</v>
      </c>
      <c r="H80" s="27">
        <v>74</v>
      </c>
      <c r="I80" s="29">
        <v>3145</v>
      </c>
      <c r="J80" s="30">
        <v>45388</v>
      </c>
      <c r="K80" s="31">
        <v>122</v>
      </c>
      <c r="L80" s="32" t="s">
        <v>2</v>
      </c>
      <c r="M80" s="87" t="s">
        <v>588</v>
      </c>
      <c r="N80" s="34">
        <v>0</v>
      </c>
      <c r="O80" s="35">
        <v>0</v>
      </c>
      <c r="P80" s="34">
        <f>N80-O80</f>
        <v>0</v>
      </c>
      <c r="Q80" s="36">
        <f>I80*H80/2</f>
        <v>116365</v>
      </c>
      <c r="R80" s="37">
        <v>116365</v>
      </c>
      <c r="S80" s="36">
        <f>Q80-R80</f>
        <v>0</v>
      </c>
      <c r="T80" s="136" t="s">
        <v>589</v>
      </c>
      <c r="U80" s="143" t="s">
        <v>82</v>
      </c>
      <c r="V80" s="157" t="s">
        <v>106</v>
      </c>
      <c r="W80" s="74" t="s">
        <v>590</v>
      </c>
      <c r="X80" s="95" t="s">
        <v>591</v>
      </c>
      <c r="Y80" s="77" t="s">
        <v>493</v>
      </c>
      <c r="Z80" s="75" t="s">
        <v>383</v>
      </c>
      <c r="AA80" s="85" t="s">
        <v>592</v>
      </c>
      <c r="AB80" s="39" t="s">
        <v>593</v>
      </c>
      <c r="AC80" s="83"/>
      <c r="AD80" s="83"/>
    </row>
    <row r="81" spans="1:33" ht="32.25" customHeight="1" x14ac:dyDescent="0.25">
      <c r="A81" s="88">
        <v>113</v>
      </c>
      <c r="B81" s="88" t="s">
        <v>263</v>
      </c>
      <c r="C81" s="88" t="s">
        <v>263</v>
      </c>
      <c r="D81" s="89" t="s">
        <v>594</v>
      </c>
      <c r="E81" s="90">
        <v>4688.25</v>
      </c>
      <c r="F81" s="91">
        <v>45371</v>
      </c>
      <c r="G81" s="26" t="s">
        <v>69</v>
      </c>
      <c r="H81" s="27">
        <v>79</v>
      </c>
      <c r="I81" s="29">
        <v>4920</v>
      </c>
      <c r="J81" s="30">
        <v>45388</v>
      </c>
      <c r="K81" s="31">
        <v>36</v>
      </c>
      <c r="L81" s="32" t="s">
        <v>55</v>
      </c>
      <c r="M81" s="87" t="s">
        <v>362</v>
      </c>
      <c r="N81" s="34">
        <v>0</v>
      </c>
      <c r="O81" s="35">
        <v>0</v>
      </c>
      <c r="P81" s="34">
        <f>N81-O81</f>
        <v>0</v>
      </c>
      <c r="Q81" s="36">
        <f>I81*H81/2</f>
        <v>194340</v>
      </c>
      <c r="R81" s="37">
        <v>194340</v>
      </c>
      <c r="S81" s="36">
        <f>Q81-R81</f>
        <v>0</v>
      </c>
      <c r="T81" s="136" t="s">
        <v>595</v>
      </c>
      <c r="U81" s="142" t="s">
        <v>82</v>
      </c>
      <c r="V81" s="142" t="s">
        <v>383</v>
      </c>
      <c r="W81" s="74" t="s">
        <v>596</v>
      </c>
      <c r="X81" s="133" t="s">
        <v>594</v>
      </c>
      <c r="Y81" s="77" t="s">
        <v>399</v>
      </c>
      <c r="Z81" s="75" t="s">
        <v>383</v>
      </c>
      <c r="AA81" s="97" t="s">
        <v>594</v>
      </c>
      <c r="AB81" s="39" t="s">
        <v>597</v>
      </c>
      <c r="AC81" s="83"/>
      <c r="AD81" s="83"/>
    </row>
    <row r="82" spans="1:33" ht="40.5" customHeight="1" x14ac:dyDescent="0.25">
      <c r="A82" s="90">
        <v>114</v>
      </c>
      <c r="B82" s="90" t="s">
        <v>263</v>
      </c>
      <c r="C82" s="90" t="s">
        <v>263</v>
      </c>
      <c r="D82" s="98" t="s">
        <v>598</v>
      </c>
      <c r="E82" s="90">
        <v>4671.84</v>
      </c>
      <c r="F82" s="91">
        <v>45371</v>
      </c>
      <c r="G82" s="26" t="s">
        <v>27</v>
      </c>
      <c r="H82" s="27">
        <v>74</v>
      </c>
      <c r="I82" s="29">
        <v>4672</v>
      </c>
      <c r="J82" s="30">
        <v>45624</v>
      </c>
      <c r="K82" s="31">
        <v>123</v>
      </c>
      <c r="L82" s="32" t="s">
        <v>2</v>
      </c>
      <c r="M82" s="87" t="s">
        <v>599</v>
      </c>
      <c r="N82" s="34">
        <v>0</v>
      </c>
      <c r="O82" s="35">
        <v>0</v>
      </c>
      <c r="P82" s="34">
        <f>N82-O82</f>
        <v>0</v>
      </c>
      <c r="Q82" s="36">
        <f>I82*H82/2</f>
        <v>172864</v>
      </c>
      <c r="R82" s="131">
        <v>81733</v>
      </c>
      <c r="S82" s="36">
        <f>Q82-R82</f>
        <v>91131</v>
      </c>
      <c r="T82" s="136" t="s">
        <v>600</v>
      </c>
      <c r="U82" s="143" t="s">
        <v>82</v>
      </c>
      <c r="V82" s="148" t="s">
        <v>290</v>
      </c>
      <c r="W82" s="74" t="s">
        <v>601</v>
      </c>
      <c r="X82" s="158" t="s">
        <v>602</v>
      </c>
      <c r="Y82" s="77" t="s">
        <v>603</v>
      </c>
      <c r="Z82" s="75" t="s">
        <v>290</v>
      </c>
      <c r="AA82" s="159" t="s">
        <v>604</v>
      </c>
      <c r="AB82" s="39" t="s">
        <v>605</v>
      </c>
      <c r="AC82" s="83"/>
      <c r="AD82" s="83"/>
      <c r="AG82" s="134" t="s">
        <v>606</v>
      </c>
    </row>
    <row r="83" spans="1:33" ht="36.75" customHeight="1" x14ac:dyDescent="0.25">
      <c r="A83" s="88">
        <v>115</v>
      </c>
      <c r="B83" s="88" t="s">
        <v>263</v>
      </c>
      <c r="C83" s="88" t="s">
        <v>263</v>
      </c>
      <c r="D83" s="89" t="s">
        <v>607</v>
      </c>
      <c r="E83" s="90">
        <v>2263.5</v>
      </c>
      <c r="F83" s="91">
        <v>45371</v>
      </c>
      <c r="G83" s="26" t="s">
        <v>27</v>
      </c>
      <c r="H83" s="27">
        <v>74</v>
      </c>
      <c r="I83" s="29">
        <v>2264</v>
      </c>
      <c r="J83" s="30">
        <v>45388</v>
      </c>
      <c r="K83" s="31">
        <v>120</v>
      </c>
      <c r="L83" s="32" t="s">
        <v>2</v>
      </c>
      <c r="M83" s="87" t="s">
        <v>497</v>
      </c>
      <c r="N83" s="34">
        <v>0</v>
      </c>
      <c r="O83" s="35">
        <v>0</v>
      </c>
      <c r="P83" s="34">
        <f>N83-O83</f>
        <v>0</v>
      </c>
      <c r="Q83" s="36">
        <f>I83*H83/2</f>
        <v>83768</v>
      </c>
      <c r="R83" s="37">
        <v>12330</v>
      </c>
      <c r="S83" s="36">
        <f>Q83-R83</f>
        <v>71438</v>
      </c>
      <c r="T83" s="136" t="s">
        <v>608</v>
      </c>
      <c r="U83" s="143">
        <v>286000</v>
      </c>
      <c r="V83" s="148" t="s">
        <v>474</v>
      </c>
      <c r="W83" s="74" t="s">
        <v>609</v>
      </c>
      <c r="X83" s="158" t="s">
        <v>610</v>
      </c>
      <c r="Y83" s="77" t="s">
        <v>611</v>
      </c>
      <c r="Z83" s="75" t="s">
        <v>474</v>
      </c>
      <c r="AA83" s="159" t="s">
        <v>612</v>
      </c>
      <c r="AB83" s="39" t="s">
        <v>613</v>
      </c>
      <c r="AC83" s="83"/>
      <c r="AD83" s="83"/>
    </row>
    <row r="84" spans="1:33" ht="33.75" customHeight="1" x14ac:dyDescent="0.25">
      <c r="A84" s="88">
        <v>117</v>
      </c>
      <c r="B84" s="88" t="s">
        <v>263</v>
      </c>
      <c r="C84" s="88" t="s">
        <v>263</v>
      </c>
      <c r="D84" s="89" t="s">
        <v>614</v>
      </c>
      <c r="E84" s="90">
        <v>3986.66</v>
      </c>
      <c r="F84" s="91">
        <v>45371</v>
      </c>
      <c r="G84" s="26" t="s">
        <v>27</v>
      </c>
      <c r="H84" s="27">
        <v>74</v>
      </c>
      <c r="I84" s="29">
        <v>3983</v>
      </c>
      <c r="J84" s="30">
        <v>45412</v>
      </c>
      <c r="K84" s="31">
        <v>121</v>
      </c>
      <c r="L84" s="32" t="s">
        <v>55</v>
      </c>
      <c r="M84" s="87" t="s">
        <v>588</v>
      </c>
      <c r="N84" s="34">
        <v>0</v>
      </c>
      <c r="O84" s="35">
        <v>0</v>
      </c>
      <c r="P84" s="34">
        <f>N84-O84</f>
        <v>0</v>
      </c>
      <c r="Q84" s="36">
        <f t="shared" ref="Q84:Q89" si="25">I84*H84/2</f>
        <v>147371</v>
      </c>
      <c r="R84" s="37">
        <v>147371</v>
      </c>
      <c r="S84" s="36">
        <f t="shared" ref="S84:S89" si="26">Q84-R84</f>
        <v>0</v>
      </c>
      <c r="T84" s="136" t="s">
        <v>615</v>
      </c>
      <c r="U84" s="142" t="s">
        <v>82</v>
      </c>
      <c r="V84" s="142" t="s">
        <v>383</v>
      </c>
      <c r="W84" s="74" t="s">
        <v>616</v>
      </c>
      <c r="X84" s="95" t="s">
        <v>617</v>
      </c>
      <c r="Y84" s="77" t="s">
        <v>188</v>
      </c>
      <c r="Z84" s="75" t="s">
        <v>383</v>
      </c>
      <c r="AA84" s="38" t="s">
        <v>618</v>
      </c>
      <c r="AB84" s="39" t="s">
        <v>619</v>
      </c>
      <c r="AC84" s="83"/>
      <c r="AD84" s="83"/>
    </row>
    <row r="85" spans="1:33" ht="31.5" customHeight="1" x14ac:dyDescent="0.25">
      <c r="A85" s="90">
        <v>118</v>
      </c>
      <c r="B85" s="90" t="s">
        <v>263</v>
      </c>
      <c r="C85" s="90" t="s">
        <v>263</v>
      </c>
      <c r="D85" s="98" t="s">
        <v>620</v>
      </c>
      <c r="E85" s="90">
        <v>6955.88</v>
      </c>
      <c r="F85" s="91">
        <v>45372</v>
      </c>
      <c r="G85" s="26" t="s">
        <v>69</v>
      </c>
      <c r="H85" s="27">
        <v>79</v>
      </c>
      <c r="I85" s="29">
        <v>6955.88</v>
      </c>
      <c r="J85" s="30">
        <v>45391</v>
      </c>
      <c r="K85" s="31">
        <v>42</v>
      </c>
      <c r="L85" s="32" t="s">
        <v>2</v>
      </c>
      <c r="M85" s="87" t="s">
        <v>621</v>
      </c>
      <c r="N85" s="34"/>
      <c r="O85" s="35"/>
      <c r="P85" s="34"/>
      <c r="Q85" s="36">
        <f t="shared" si="25"/>
        <v>274757.26</v>
      </c>
      <c r="R85" s="37">
        <v>259031</v>
      </c>
      <c r="S85" s="36">
        <f t="shared" si="26"/>
        <v>15726.260000000009</v>
      </c>
      <c r="T85" s="136" t="s">
        <v>622</v>
      </c>
      <c r="U85" s="143">
        <v>844141</v>
      </c>
      <c r="V85" s="157" t="s">
        <v>383</v>
      </c>
      <c r="W85" s="74" t="s">
        <v>623</v>
      </c>
      <c r="X85" s="95" t="s">
        <v>620</v>
      </c>
      <c r="Y85" s="77" t="s">
        <v>399</v>
      </c>
      <c r="Z85" s="75" t="s">
        <v>383</v>
      </c>
      <c r="AA85" s="147" t="s">
        <v>624</v>
      </c>
      <c r="AB85" s="39" t="s">
        <v>625</v>
      </c>
      <c r="AC85" s="83"/>
      <c r="AD85" s="83"/>
    </row>
    <row r="86" spans="1:33" ht="31.5" customHeight="1" x14ac:dyDescent="0.25">
      <c r="A86" s="88">
        <v>119</v>
      </c>
      <c r="B86" s="88" t="s">
        <v>263</v>
      </c>
      <c r="C86" s="88" t="s">
        <v>263</v>
      </c>
      <c r="D86" s="89" t="s">
        <v>626</v>
      </c>
      <c r="E86" s="90">
        <v>2362.5</v>
      </c>
      <c r="F86" s="91">
        <v>45372</v>
      </c>
      <c r="G86" s="26" t="s">
        <v>27</v>
      </c>
      <c r="H86" s="27">
        <v>74</v>
      </c>
      <c r="I86" s="29">
        <v>2362.5</v>
      </c>
      <c r="J86" s="30">
        <v>45387</v>
      </c>
      <c r="K86" s="31">
        <v>93</v>
      </c>
      <c r="L86" s="32" t="s">
        <v>2</v>
      </c>
      <c r="M86" s="87" t="s">
        <v>497</v>
      </c>
      <c r="N86" s="72">
        <v>0</v>
      </c>
      <c r="O86" s="35">
        <v>0</v>
      </c>
      <c r="P86" s="72">
        <f>N86-O86</f>
        <v>0</v>
      </c>
      <c r="Q86" s="36">
        <f t="shared" si="25"/>
        <v>87412.5</v>
      </c>
      <c r="R86" s="37">
        <v>87413</v>
      </c>
      <c r="S86" s="36">
        <f t="shared" si="26"/>
        <v>-0.5</v>
      </c>
      <c r="T86" s="136" t="s">
        <v>627</v>
      </c>
      <c r="U86" s="142">
        <v>614000</v>
      </c>
      <c r="V86" s="191" t="s">
        <v>290</v>
      </c>
      <c r="W86" s="74" t="s">
        <v>628</v>
      </c>
      <c r="X86" s="133" t="s">
        <v>629</v>
      </c>
      <c r="Y86" s="77" t="s">
        <v>578</v>
      </c>
      <c r="Z86" s="192" t="s">
        <v>290</v>
      </c>
      <c r="AA86" s="133" t="s">
        <v>630</v>
      </c>
      <c r="AB86" s="39" t="s">
        <v>631</v>
      </c>
      <c r="AC86" s="83"/>
      <c r="AD86" s="83"/>
    </row>
    <row r="87" spans="1:33" ht="49.5" customHeight="1" x14ac:dyDescent="0.25">
      <c r="A87" s="90">
        <v>120</v>
      </c>
      <c r="B87" s="90" t="s">
        <v>263</v>
      </c>
      <c r="C87" s="90" t="s">
        <v>263</v>
      </c>
      <c r="D87" s="98" t="s">
        <v>632</v>
      </c>
      <c r="E87" s="90">
        <v>5625</v>
      </c>
      <c r="F87" s="91">
        <v>45371</v>
      </c>
      <c r="G87" s="26" t="s">
        <v>69</v>
      </c>
      <c r="H87" s="27">
        <v>79</v>
      </c>
      <c r="I87" s="29">
        <v>5274</v>
      </c>
      <c r="J87" s="30">
        <v>45391</v>
      </c>
      <c r="K87" s="31">
        <v>29</v>
      </c>
      <c r="L87" s="32" t="s">
        <v>55</v>
      </c>
      <c r="M87" s="87" t="s">
        <v>303</v>
      </c>
      <c r="N87" s="34">
        <v>0</v>
      </c>
      <c r="O87" s="35">
        <v>0</v>
      </c>
      <c r="P87" s="34">
        <f>N87-O87</f>
        <v>0</v>
      </c>
      <c r="Q87" s="36">
        <f t="shared" si="25"/>
        <v>208323</v>
      </c>
      <c r="R87" s="37">
        <v>208323</v>
      </c>
      <c r="S87" s="36">
        <f t="shared" si="26"/>
        <v>0</v>
      </c>
      <c r="T87" s="136" t="s">
        <v>633</v>
      </c>
      <c r="U87" s="142" t="s">
        <v>82</v>
      </c>
      <c r="V87" s="142" t="s">
        <v>290</v>
      </c>
      <c r="W87" s="74" t="s">
        <v>634</v>
      </c>
      <c r="X87" s="149" t="s">
        <v>635</v>
      </c>
      <c r="Y87" s="77" t="s">
        <v>603</v>
      </c>
      <c r="Z87" s="146" t="s">
        <v>290</v>
      </c>
      <c r="AA87" s="39" t="s">
        <v>636</v>
      </c>
      <c r="AB87" s="39" t="s">
        <v>637</v>
      </c>
      <c r="AC87" s="83"/>
      <c r="AD87" s="83"/>
    </row>
    <row r="88" spans="1:33" ht="39" customHeight="1" x14ac:dyDescent="0.25">
      <c r="A88" s="88">
        <v>121</v>
      </c>
      <c r="B88" s="88" t="s">
        <v>263</v>
      </c>
      <c r="C88" s="88" t="s">
        <v>263</v>
      </c>
      <c r="D88" s="89" t="s">
        <v>638</v>
      </c>
      <c r="E88" s="90">
        <v>2258.2800000000002</v>
      </c>
      <c r="F88" s="91">
        <v>45371</v>
      </c>
      <c r="G88" s="26" t="s">
        <v>69</v>
      </c>
      <c r="H88" s="27">
        <v>79</v>
      </c>
      <c r="I88" s="29">
        <v>1927</v>
      </c>
      <c r="J88" s="30">
        <v>45390</v>
      </c>
      <c r="K88" s="31">
        <v>118</v>
      </c>
      <c r="L88" s="32" t="s">
        <v>2</v>
      </c>
      <c r="M88" s="87" t="s">
        <v>639</v>
      </c>
      <c r="N88" s="34">
        <v>0</v>
      </c>
      <c r="O88" s="35">
        <v>0</v>
      </c>
      <c r="P88" s="34">
        <f>N88-O88</f>
        <v>0</v>
      </c>
      <c r="Q88" s="36">
        <f t="shared" si="25"/>
        <v>76116.5</v>
      </c>
      <c r="R88" s="37">
        <v>76117</v>
      </c>
      <c r="S88" s="36">
        <f t="shared" si="26"/>
        <v>-0.5</v>
      </c>
      <c r="T88" s="136" t="s">
        <v>640</v>
      </c>
      <c r="U88" s="142" t="s">
        <v>82</v>
      </c>
      <c r="V88" s="142" t="s">
        <v>106</v>
      </c>
      <c r="W88" s="74" t="s">
        <v>641</v>
      </c>
      <c r="X88" s="149" t="s">
        <v>642</v>
      </c>
      <c r="Y88" s="77" t="s">
        <v>399</v>
      </c>
      <c r="Z88" s="146" t="s">
        <v>106</v>
      </c>
      <c r="AA88" s="39" t="s">
        <v>643</v>
      </c>
      <c r="AB88" s="39" t="s">
        <v>644</v>
      </c>
      <c r="AC88" s="83"/>
      <c r="AD88" s="83"/>
    </row>
    <row r="89" spans="1:33" ht="31.5" customHeight="1" x14ac:dyDescent="0.25">
      <c r="A89" s="90">
        <v>122</v>
      </c>
      <c r="B89" s="90" t="s">
        <v>263</v>
      </c>
      <c r="C89" s="90" t="s">
        <v>263</v>
      </c>
      <c r="D89" s="98" t="s">
        <v>645</v>
      </c>
      <c r="E89" s="90">
        <v>28213.89</v>
      </c>
      <c r="F89" s="91">
        <v>45371</v>
      </c>
      <c r="G89" s="26" t="s">
        <v>69</v>
      </c>
      <c r="H89" s="27">
        <v>79</v>
      </c>
      <c r="I89" s="29">
        <v>15000</v>
      </c>
      <c r="J89" s="30">
        <v>45392</v>
      </c>
      <c r="K89" s="31">
        <v>51</v>
      </c>
      <c r="L89" s="32" t="s">
        <v>2</v>
      </c>
      <c r="M89" s="87" t="s">
        <v>646</v>
      </c>
      <c r="N89" s="34">
        <v>0</v>
      </c>
      <c r="O89" s="35">
        <v>0</v>
      </c>
      <c r="P89" s="34">
        <f>N89-O89</f>
        <v>0</v>
      </c>
      <c r="Q89" s="36">
        <f t="shared" si="25"/>
        <v>592500</v>
      </c>
      <c r="R89" s="37">
        <v>557180</v>
      </c>
      <c r="S89" s="36">
        <f t="shared" si="26"/>
        <v>35320</v>
      </c>
      <c r="T89" s="136" t="s">
        <v>647</v>
      </c>
      <c r="U89" s="142" t="s">
        <v>82</v>
      </c>
      <c r="V89" s="142" t="s">
        <v>48</v>
      </c>
      <c r="W89" s="74" t="s">
        <v>648</v>
      </c>
      <c r="X89" s="133" t="s">
        <v>649</v>
      </c>
      <c r="Y89" s="77" t="s">
        <v>650</v>
      </c>
      <c r="Z89" s="146" t="s">
        <v>651</v>
      </c>
      <c r="AA89" s="147" t="s">
        <v>652</v>
      </c>
      <c r="AB89" s="39" t="s">
        <v>653</v>
      </c>
      <c r="AC89" s="83"/>
      <c r="AD89" s="83"/>
    </row>
    <row r="90" spans="1:33" ht="40.5" customHeight="1" x14ac:dyDescent="0.25">
      <c r="A90" s="90">
        <v>124</v>
      </c>
      <c r="B90" s="90" t="s">
        <v>263</v>
      </c>
      <c r="C90" s="90" t="s">
        <v>263</v>
      </c>
      <c r="D90" s="98" t="s">
        <v>654</v>
      </c>
      <c r="E90" s="90">
        <v>4223.96</v>
      </c>
      <c r="F90" s="91">
        <v>45371</v>
      </c>
      <c r="G90" s="26" t="s">
        <v>27</v>
      </c>
      <c r="H90" s="27">
        <v>74</v>
      </c>
      <c r="I90" s="29">
        <v>4136</v>
      </c>
      <c r="J90" s="30">
        <v>45387</v>
      </c>
      <c r="K90" s="31">
        <v>115</v>
      </c>
      <c r="L90" s="32" t="s">
        <v>2</v>
      </c>
      <c r="M90" s="87" t="s">
        <v>303</v>
      </c>
      <c r="N90" s="34">
        <v>0</v>
      </c>
      <c r="O90" s="35">
        <v>0</v>
      </c>
      <c r="P90" s="34">
        <f>N90-O90</f>
        <v>0</v>
      </c>
      <c r="Q90" s="36">
        <f>I90*H90/2</f>
        <v>153032</v>
      </c>
      <c r="R90" s="37">
        <v>153032</v>
      </c>
      <c r="S90" s="36">
        <f>Q90-R90</f>
        <v>0</v>
      </c>
      <c r="T90" s="136" t="s">
        <v>655</v>
      </c>
      <c r="U90" s="142" t="s">
        <v>82</v>
      </c>
      <c r="V90" s="180" t="s">
        <v>106</v>
      </c>
      <c r="W90" s="74" t="s">
        <v>656</v>
      </c>
      <c r="X90" s="149" t="s">
        <v>657</v>
      </c>
      <c r="Y90" s="77" t="s">
        <v>521</v>
      </c>
      <c r="Z90" s="181" t="s">
        <v>383</v>
      </c>
      <c r="AA90" s="149" t="s">
        <v>657</v>
      </c>
      <c r="AB90" s="39" t="s">
        <v>658</v>
      </c>
      <c r="AC90" s="83"/>
      <c r="AD90" s="83"/>
    </row>
    <row r="91" spans="1:33" ht="33.75" customHeight="1" x14ac:dyDescent="0.25">
      <c r="A91" s="88">
        <v>125</v>
      </c>
      <c r="B91" s="88" t="s">
        <v>263</v>
      </c>
      <c r="C91" s="88" t="s">
        <v>263</v>
      </c>
      <c r="D91" s="89" t="s">
        <v>659</v>
      </c>
      <c r="E91" s="90">
        <v>3750</v>
      </c>
      <c r="F91" s="91">
        <v>45371</v>
      </c>
      <c r="G91" s="26" t="s">
        <v>27</v>
      </c>
      <c r="H91" s="27">
        <v>74</v>
      </c>
      <c r="I91" s="29">
        <v>3436</v>
      </c>
      <c r="J91" s="30">
        <v>45380</v>
      </c>
      <c r="K91" s="193">
        <v>134</v>
      </c>
      <c r="L91" s="32" t="s">
        <v>2</v>
      </c>
      <c r="M91" s="87" t="s">
        <v>80</v>
      </c>
      <c r="N91" s="34">
        <v>171800</v>
      </c>
      <c r="O91" s="35">
        <v>171800</v>
      </c>
      <c r="P91" s="34">
        <f>N91-O91</f>
        <v>0</v>
      </c>
      <c r="Q91" s="36">
        <f>I91*H91/2</f>
        <v>127132</v>
      </c>
      <c r="R91" s="37">
        <v>127132</v>
      </c>
      <c r="S91" s="36">
        <f>Q91-R91</f>
        <v>0</v>
      </c>
      <c r="T91" s="136" t="s">
        <v>660</v>
      </c>
      <c r="U91" s="142" t="s">
        <v>82</v>
      </c>
      <c r="V91" s="180" t="s">
        <v>106</v>
      </c>
      <c r="W91" s="74" t="s">
        <v>661</v>
      </c>
      <c r="X91" s="149" t="s">
        <v>659</v>
      </c>
      <c r="Y91" s="77" t="s">
        <v>662</v>
      </c>
      <c r="Z91" s="181" t="s">
        <v>383</v>
      </c>
      <c r="AA91" s="149" t="s">
        <v>663</v>
      </c>
      <c r="AB91" s="39" t="s">
        <v>664</v>
      </c>
      <c r="AC91" s="83"/>
      <c r="AD91" s="83"/>
    </row>
    <row r="92" spans="1:33" ht="32.25" customHeight="1" x14ac:dyDescent="0.25">
      <c r="A92" s="88">
        <v>127</v>
      </c>
      <c r="B92" s="88" t="s">
        <v>263</v>
      </c>
      <c r="C92" s="88" t="s">
        <v>263</v>
      </c>
      <c r="D92" s="89" t="s">
        <v>665</v>
      </c>
      <c r="E92" s="90">
        <v>11832</v>
      </c>
      <c r="F92" s="91">
        <v>45371</v>
      </c>
      <c r="G92" s="26" t="s">
        <v>69</v>
      </c>
      <c r="H92" s="27">
        <v>79</v>
      </c>
      <c r="I92" s="29">
        <v>12000</v>
      </c>
      <c r="J92" s="30">
        <v>45388</v>
      </c>
      <c r="K92" s="31" t="s">
        <v>666</v>
      </c>
      <c r="L92" s="32" t="s">
        <v>2</v>
      </c>
      <c r="M92" s="87" t="s">
        <v>667</v>
      </c>
      <c r="N92" s="34">
        <v>0</v>
      </c>
      <c r="O92" s="35">
        <v>0</v>
      </c>
      <c r="P92" s="34">
        <f>N92-O92</f>
        <v>0</v>
      </c>
      <c r="Q92" s="36">
        <f>I92*H92/2</f>
        <v>474000</v>
      </c>
      <c r="R92" s="37">
        <v>474000</v>
      </c>
      <c r="S92" s="36">
        <f>Q92-R92</f>
        <v>0</v>
      </c>
      <c r="T92" s="136" t="s">
        <v>668</v>
      </c>
      <c r="U92" s="142" t="s">
        <v>82</v>
      </c>
      <c r="V92" s="142" t="s">
        <v>383</v>
      </c>
      <c r="W92" s="74" t="s">
        <v>669</v>
      </c>
      <c r="X92" s="133" t="s">
        <v>670</v>
      </c>
      <c r="Y92" s="77" t="s">
        <v>399</v>
      </c>
      <c r="Z92" s="75" t="s">
        <v>383</v>
      </c>
      <c r="AA92" s="97" t="s">
        <v>671</v>
      </c>
      <c r="AB92" s="39" t="s">
        <v>672</v>
      </c>
      <c r="AC92" s="83"/>
      <c r="AD92" s="83"/>
    </row>
    <row r="93" spans="1:33" ht="39" customHeight="1" x14ac:dyDescent="0.25">
      <c r="A93" s="90">
        <v>128</v>
      </c>
      <c r="B93" s="90" t="s">
        <v>263</v>
      </c>
      <c r="C93" s="90" t="s">
        <v>673</v>
      </c>
      <c r="D93" s="98" t="s">
        <v>674</v>
      </c>
      <c r="E93" s="90">
        <v>2929.5</v>
      </c>
      <c r="F93" s="91">
        <v>45371</v>
      </c>
      <c r="G93" s="26" t="s">
        <v>69</v>
      </c>
      <c r="H93" s="27">
        <v>79</v>
      </c>
      <c r="I93" s="29">
        <v>2929.5</v>
      </c>
      <c r="J93" s="30">
        <v>45386</v>
      </c>
      <c r="K93" s="31">
        <v>30</v>
      </c>
      <c r="L93" s="32" t="s">
        <v>2</v>
      </c>
      <c r="M93" s="87" t="s">
        <v>4</v>
      </c>
      <c r="N93" s="34">
        <f>I93*50</f>
        <v>146475</v>
      </c>
      <c r="O93" s="37">
        <v>6002</v>
      </c>
      <c r="P93" s="34">
        <f>N93-O93</f>
        <v>140473</v>
      </c>
      <c r="Q93" s="36">
        <f t="shared" ref="Q93:Q95" si="27">I93*H93/2</f>
        <v>115715.25</v>
      </c>
      <c r="R93" s="37">
        <v>115715</v>
      </c>
      <c r="S93" s="36">
        <f t="shared" ref="S93:S103" si="28">Q93-R93</f>
        <v>0.25</v>
      </c>
      <c r="T93" s="136" t="s">
        <v>675</v>
      </c>
      <c r="U93" s="143">
        <v>150000</v>
      </c>
      <c r="V93" s="194" t="s">
        <v>474</v>
      </c>
      <c r="W93" s="74" t="s">
        <v>676</v>
      </c>
      <c r="X93" s="158" t="s">
        <v>677</v>
      </c>
      <c r="Y93" s="77" t="s">
        <v>678</v>
      </c>
      <c r="Z93" s="75" t="s">
        <v>474</v>
      </c>
      <c r="AA93" s="195" t="s">
        <v>674</v>
      </c>
      <c r="AB93" s="39" t="s">
        <v>679</v>
      </c>
      <c r="AC93" s="83"/>
      <c r="AD93" s="83"/>
    </row>
    <row r="94" spans="1:33" ht="30.75" customHeight="1" x14ac:dyDescent="0.25">
      <c r="A94" s="88">
        <v>133</v>
      </c>
      <c r="B94" s="88" t="s">
        <v>263</v>
      </c>
      <c r="C94" s="88" t="s">
        <v>673</v>
      </c>
      <c r="D94" s="89" t="s">
        <v>680</v>
      </c>
      <c r="E94" s="90">
        <v>3875.48</v>
      </c>
      <c r="F94" s="91">
        <v>45369</v>
      </c>
      <c r="G94" s="26" t="s">
        <v>69</v>
      </c>
      <c r="H94" s="27">
        <v>79</v>
      </c>
      <c r="I94" s="29">
        <v>3875</v>
      </c>
      <c r="J94" s="30">
        <v>45394</v>
      </c>
      <c r="K94" s="31">
        <v>34</v>
      </c>
      <c r="L94" s="32" t="s">
        <v>55</v>
      </c>
      <c r="M94" s="87" t="s">
        <v>588</v>
      </c>
      <c r="N94" s="34">
        <v>0</v>
      </c>
      <c r="O94" s="35">
        <v>0</v>
      </c>
      <c r="P94" s="34">
        <f>N94-O94</f>
        <v>0</v>
      </c>
      <c r="Q94" s="36">
        <f t="shared" si="27"/>
        <v>153062.5</v>
      </c>
      <c r="R94" s="37">
        <v>153063</v>
      </c>
      <c r="S94" s="36">
        <f t="shared" si="28"/>
        <v>-0.5</v>
      </c>
      <c r="T94" s="136" t="s">
        <v>681</v>
      </c>
      <c r="U94" s="143">
        <v>850000</v>
      </c>
      <c r="V94" s="157" t="s">
        <v>682</v>
      </c>
      <c r="W94" s="74" t="s">
        <v>683</v>
      </c>
      <c r="X94" s="95" t="s">
        <v>180</v>
      </c>
      <c r="Y94" s="77" t="s">
        <v>684</v>
      </c>
      <c r="Z94" s="75" t="s">
        <v>682</v>
      </c>
      <c r="AA94" s="85" t="s">
        <v>685</v>
      </c>
      <c r="AB94" s="39" t="s">
        <v>686</v>
      </c>
      <c r="AC94" s="83"/>
      <c r="AD94" s="83"/>
    </row>
    <row r="95" spans="1:33" ht="31.5" customHeight="1" x14ac:dyDescent="0.25">
      <c r="A95" s="90">
        <v>134</v>
      </c>
      <c r="B95" s="90" t="s">
        <v>263</v>
      </c>
      <c r="C95" s="90" t="s">
        <v>673</v>
      </c>
      <c r="D95" s="98" t="s">
        <v>687</v>
      </c>
      <c r="E95" s="90">
        <v>3545.06</v>
      </c>
      <c r="F95" s="91">
        <v>45370</v>
      </c>
      <c r="G95" s="26" t="s">
        <v>27</v>
      </c>
      <c r="H95" s="27">
        <v>74</v>
      </c>
      <c r="I95" s="29">
        <v>2000</v>
      </c>
      <c r="J95" s="30">
        <v>45392</v>
      </c>
      <c r="K95" s="31">
        <v>21</v>
      </c>
      <c r="L95" s="32" t="s">
        <v>2</v>
      </c>
      <c r="M95" s="87" t="s">
        <v>497</v>
      </c>
      <c r="N95" s="34">
        <v>0</v>
      </c>
      <c r="O95" s="35">
        <v>0</v>
      </c>
      <c r="P95" s="34">
        <f>N95-O95</f>
        <v>0</v>
      </c>
      <c r="Q95" s="36">
        <f t="shared" si="27"/>
        <v>74000</v>
      </c>
      <c r="R95" s="37">
        <v>74000</v>
      </c>
      <c r="S95" s="36">
        <f t="shared" si="28"/>
        <v>0</v>
      </c>
      <c r="T95" s="136" t="s">
        <v>688</v>
      </c>
      <c r="U95" s="143">
        <v>100000</v>
      </c>
      <c r="V95" s="157" t="s">
        <v>689</v>
      </c>
      <c r="W95" s="74" t="s">
        <v>690</v>
      </c>
      <c r="X95" s="95" t="s">
        <v>691</v>
      </c>
      <c r="Y95" s="77" t="s">
        <v>692</v>
      </c>
      <c r="Z95" s="75" t="s">
        <v>689</v>
      </c>
      <c r="AA95" s="85" t="s">
        <v>693</v>
      </c>
      <c r="AB95" s="39" t="s">
        <v>694</v>
      </c>
      <c r="AC95" s="83"/>
      <c r="AD95" s="83"/>
    </row>
    <row r="96" spans="1:33" ht="47.25" customHeight="1" x14ac:dyDescent="0.25">
      <c r="A96" s="108">
        <v>140</v>
      </c>
      <c r="B96" s="108" t="s">
        <v>695</v>
      </c>
      <c r="C96" s="108" t="s">
        <v>696</v>
      </c>
      <c r="D96" s="109" t="s">
        <v>697</v>
      </c>
      <c r="E96" s="108">
        <v>3403.13</v>
      </c>
      <c r="F96" s="110">
        <v>45371</v>
      </c>
      <c r="G96" s="86" t="s">
        <v>69</v>
      </c>
      <c r="H96" s="27">
        <v>79</v>
      </c>
      <c r="I96" s="31">
        <v>3403</v>
      </c>
      <c r="J96" s="30">
        <v>45379</v>
      </c>
      <c r="K96" s="31">
        <v>16</v>
      </c>
      <c r="L96" s="32" t="s">
        <v>55</v>
      </c>
      <c r="M96" s="87" t="s">
        <v>70</v>
      </c>
      <c r="N96" s="196">
        <v>0</v>
      </c>
      <c r="O96" s="35">
        <v>0</v>
      </c>
      <c r="P96" s="34">
        <f t="shared" ref="P96:P104" si="29">N96-O96</f>
        <v>0</v>
      </c>
      <c r="Q96" s="36">
        <f>I96*H96/2</f>
        <v>134418.5</v>
      </c>
      <c r="R96" s="37">
        <v>134419</v>
      </c>
      <c r="S96" s="36">
        <f t="shared" si="28"/>
        <v>-0.5</v>
      </c>
      <c r="T96" s="74" t="s">
        <v>698</v>
      </c>
      <c r="U96" s="36">
        <v>0</v>
      </c>
      <c r="V96" s="75" t="s">
        <v>123</v>
      </c>
      <c r="W96" s="123" t="s">
        <v>699</v>
      </c>
      <c r="X96" s="76" t="s">
        <v>700</v>
      </c>
      <c r="Y96" s="77" t="s">
        <v>701</v>
      </c>
      <c r="Z96" s="75" t="s">
        <v>702</v>
      </c>
      <c r="AA96" s="75" t="s">
        <v>703</v>
      </c>
      <c r="AB96" s="77" t="s">
        <v>704</v>
      </c>
      <c r="AC96" s="83"/>
      <c r="AD96" s="83"/>
    </row>
    <row r="97" spans="1:30" ht="31.5" customHeight="1" x14ac:dyDescent="0.25">
      <c r="A97" s="108">
        <v>141</v>
      </c>
      <c r="B97" s="108" t="s">
        <v>695</v>
      </c>
      <c r="C97" s="108" t="s">
        <v>696</v>
      </c>
      <c r="D97" s="109" t="s">
        <v>705</v>
      </c>
      <c r="E97" s="108">
        <v>5625</v>
      </c>
      <c r="F97" s="110">
        <v>45371</v>
      </c>
      <c r="G97" s="86" t="s">
        <v>69</v>
      </c>
      <c r="H97" s="27">
        <v>79</v>
      </c>
      <c r="I97" s="31">
        <v>5625</v>
      </c>
      <c r="J97" s="30">
        <v>45399</v>
      </c>
      <c r="K97" s="31">
        <v>17</v>
      </c>
      <c r="L97" s="32" t="s">
        <v>55</v>
      </c>
      <c r="M97" s="87" t="s">
        <v>80</v>
      </c>
      <c r="N97" s="72">
        <f>I97*50</f>
        <v>281250</v>
      </c>
      <c r="O97" s="35">
        <v>281250</v>
      </c>
      <c r="P97" s="34">
        <f t="shared" si="29"/>
        <v>0</v>
      </c>
      <c r="Q97" s="36">
        <f>I97*H97/2</f>
        <v>222187.5</v>
      </c>
      <c r="R97" s="37">
        <v>222188</v>
      </c>
      <c r="S97" s="36">
        <f t="shared" si="28"/>
        <v>-0.5</v>
      </c>
      <c r="T97" s="74" t="s">
        <v>706</v>
      </c>
      <c r="U97" s="36">
        <v>0</v>
      </c>
      <c r="V97" s="75" t="s">
        <v>123</v>
      </c>
      <c r="W97" s="123" t="s">
        <v>707</v>
      </c>
      <c r="X97" s="76" t="s">
        <v>708</v>
      </c>
      <c r="Y97" s="77" t="s">
        <v>701</v>
      </c>
      <c r="Z97" s="75" t="s">
        <v>702</v>
      </c>
      <c r="AA97" s="197" t="s">
        <v>709</v>
      </c>
      <c r="AB97" s="85" t="s">
        <v>710</v>
      </c>
      <c r="AC97" s="83"/>
      <c r="AD97" s="83"/>
    </row>
    <row r="98" spans="1:30" s="23" customFormat="1" ht="30.75" customHeight="1" x14ac:dyDescent="0.25">
      <c r="A98" s="90">
        <v>142</v>
      </c>
      <c r="B98" s="90" t="s">
        <v>695</v>
      </c>
      <c r="C98" s="90" t="s">
        <v>696</v>
      </c>
      <c r="D98" s="98" t="s">
        <v>711</v>
      </c>
      <c r="E98" s="90">
        <v>5625</v>
      </c>
      <c r="F98" s="91">
        <v>45366</v>
      </c>
      <c r="G98" s="198" t="s">
        <v>69</v>
      </c>
      <c r="H98" s="28">
        <v>79</v>
      </c>
      <c r="I98" s="199">
        <v>5625</v>
      </c>
      <c r="J98" s="200">
        <v>45654</v>
      </c>
      <c r="K98" s="199">
        <v>1</v>
      </c>
      <c r="L98" s="32" t="s">
        <v>55</v>
      </c>
      <c r="M98" s="201" t="s">
        <v>80</v>
      </c>
      <c r="N98" s="202">
        <f>I98*50</f>
        <v>281250</v>
      </c>
      <c r="O98" s="203">
        <v>0</v>
      </c>
      <c r="P98" s="203">
        <f t="shared" si="29"/>
        <v>281250</v>
      </c>
      <c r="Q98" s="204">
        <f>I98*H98/2</f>
        <v>222187.5</v>
      </c>
      <c r="R98" s="205">
        <v>0</v>
      </c>
      <c r="S98" s="204">
        <f t="shared" si="28"/>
        <v>222187.5</v>
      </c>
      <c r="T98" s="186" t="s">
        <v>712</v>
      </c>
      <c r="U98" s="204">
        <v>0</v>
      </c>
      <c r="V98" s="189" t="s">
        <v>123</v>
      </c>
      <c r="W98" s="206" t="s">
        <v>713</v>
      </c>
      <c r="X98" s="207" t="s">
        <v>714</v>
      </c>
      <c r="Y98" s="188" t="s">
        <v>701</v>
      </c>
      <c r="Z98" s="189" t="s">
        <v>702</v>
      </c>
      <c r="AA98" s="208" t="s">
        <v>714</v>
      </c>
      <c r="AB98" s="209" t="s">
        <v>715</v>
      </c>
      <c r="AC98" s="79"/>
      <c r="AD98" s="79"/>
    </row>
    <row r="99" spans="1:30" ht="31.5" customHeight="1" x14ac:dyDescent="0.25">
      <c r="A99" s="108">
        <v>144</v>
      </c>
      <c r="B99" s="108" t="s">
        <v>695</v>
      </c>
      <c r="C99" s="108" t="s">
        <v>696</v>
      </c>
      <c r="D99" s="109" t="s">
        <v>716</v>
      </c>
      <c r="E99" s="108">
        <v>1012.5</v>
      </c>
      <c r="F99" s="110">
        <v>45370</v>
      </c>
      <c r="G99" s="86" t="s">
        <v>69</v>
      </c>
      <c r="H99" s="27">
        <v>79</v>
      </c>
      <c r="I99" s="31">
        <v>710</v>
      </c>
      <c r="J99" s="30">
        <v>45381</v>
      </c>
      <c r="K99" s="31">
        <v>19</v>
      </c>
      <c r="L99" s="32" t="s">
        <v>2</v>
      </c>
      <c r="M99" s="87" t="s">
        <v>80</v>
      </c>
      <c r="N99" s="72">
        <f>I99*50</f>
        <v>35500</v>
      </c>
      <c r="O99" s="35">
        <v>35500</v>
      </c>
      <c r="P99" s="34">
        <f t="shared" si="29"/>
        <v>0</v>
      </c>
      <c r="Q99" s="36">
        <f>I99*H99/2</f>
        <v>28045</v>
      </c>
      <c r="R99" s="37">
        <v>28045</v>
      </c>
      <c r="S99" s="36">
        <f t="shared" si="28"/>
        <v>0</v>
      </c>
      <c r="T99" s="74" t="s">
        <v>717</v>
      </c>
      <c r="U99" s="36">
        <v>0</v>
      </c>
      <c r="V99" s="75" t="s">
        <v>123</v>
      </c>
      <c r="W99" s="123" t="s">
        <v>707</v>
      </c>
      <c r="X99" s="76" t="s">
        <v>708</v>
      </c>
      <c r="Y99" s="77" t="s">
        <v>701</v>
      </c>
      <c r="Z99" s="75" t="s">
        <v>702</v>
      </c>
      <c r="AA99" s="197" t="s">
        <v>709</v>
      </c>
      <c r="AB99" s="85" t="s">
        <v>710</v>
      </c>
      <c r="AC99" s="83"/>
      <c r="AD99" s="83"/>
    </row>
    <row r="100" spans="1:30" s="210" customFormat="1" ht="47.25" customHeight="1" x14ac:dyDescent="0.25">
      <c r="A100" s="108">
        <v>145</v>
      </c>
      <c r="B100" s="108" t="s">
        <v>718</v>
      </c>
      <c r="C100" s="108" t="s">
        <v>719</v>
      </c>
      <c r="D100" s="109" t="s">
        <v>720</v>
      </c>
      <c r="E100" s="108">
        <v>3009.56</v>
      </c>
      <c r="F100" s="110">
        <v>45368</v>
      </c>
      <c r="G100" s="86" t="s">
        <v>27</v>
      </c>
      <c r="H100" s="27">
        <v>74</v>
      </c>
      <c r="I100" s="69">
        <v>2925</v>
      </c>
      <c r="J100" s="30">
        <v>45418</v>
      </c>
      <c r="K100" s="31">
        <v>16</v>
      </c>
      <c r="L100" s="32" t="s">
        <v>2</v>
      </c>
      <c r="M100" s="87" t="s">
        <v>80</v>
      </c>
      <c r="N100" s="72">
        <v>146250</v>
      </c>
      <c r="O100" s="35">
        <v>87251</v>
      </c>
      <c r="P100" s="34">
        <f t="shared" si="29"/>
        <v>58999</v>
      </c>
      <c r="Q100" s="36">
        <f>I100*H100/2</f>
        <v>108225</v>
      </c>
      <c r="R100" s="37">
        <v>108225</v>
      </c>
      <c r="S100" s="36">
        <f t="shared" si="28"/>
        <v>0</v>
      </c>
      <c r="T100" s="74" t="s">
        <v>721</v>
      </c>
      <c r="U100" s="36">
        <v>1272000</v>
      </c>
      <c r="V100" s="75" t="s">
        <v>123</v>
      </c>
      <c r="W100" s="123" t="s">
        <v>722</v>
      </c>
      <c r="X100" s="76" t="s">
        <v>723</v>
      </c>
      <c r="Y100" s="77" t="s">
        <v>724</v>
      </c>
      <c r="Z100" s="75" t="s">
        <v>123</v>
      </c>
      <c r="AA100" s="197" t="s">
        <v>725</v>
      </c>
      <c r="AB100" s="85" t="s">
        <v>726</v>
      </c>
      <c r="AC100" s="83"/>
      <c r="AD100" s="83"/>
    </row>
    <row r="101" spans="1:30" ht="31.5" customHeight="1" x14ac:dyDescent="0.25">
      <c r="A101" s="108">
        <v>146</v>
      </c>
      <c r="B101" s="108" t="s">
        <v>718</v>
      </c>
      <c r="C101" s="108" t="s">
        <v>719</v>
      </c>
      <c r="D101" s="109" t="s">
        <v>727</v>
      </c>
      <c r="E101" s="108">
        <v>3593.91</v>
      </c>
      <c r="F101" s="110">
        <v>45366</v>
      </c>
      <c r="G101" s="86" t="s">
        <v>69</v>
      </c>
      <c r="H101" s="27">
        <v>79</v>
      </c>
      <c r="I101" s="31">
        <v>3574</v>
      </c>
      <c r="J101" s="30">
        <v>45388</v>
      </c>
      <c r="K101" s="31">
        <v>21</v>
      </c>
      <c r="L101" s="32" t="s">
        <v>55</v>
      </c>
      <c r="M101" s="87" t="s">
        <v>728</v>
      </c>
      <c r="N101" s="72">
        <v>0</v>
      </c>
      <c r="O101" s="35">
        <v>0</v>
      </c>
      <c r="P101" s="34">
        <f t="shared" si="29"/>
        <v>0</v>
      </c>
      <c r="Q101" s="36">
        <f>I101*H101/2</f>
        <v>141173</v>
      </c>
      <c r="R101" s="37">
        <v>141173</v>
      </c>
      <c r="S101" s="36">
        <f t="shared" si="28"/>
        <v>0</v>
      </c>
      <c r="T101" s="74" t="s">
        <v>729</v>
      </c>
      <c r="U101" s="36">
        <v>1515376</v>
      </c>
      <c r="V101" s="38" t="s">
        <v>651</v>
      </c>
      <c r="W101" s="74" t="s">
        <v>730</v>
      </c>
      <c r="X101" s="197" t="s">
        <v>731</v>
      </c>
      <c r="Y101" s="77" t="s">
        <v>732</v>
      </c>
      <c r="Z101" s="38" t="s">
        <v>651</v>
      </c>
      <c r="AA101" s="197" t="s">
        <v>733</v>
      </c>
      <c r="AB101" s="85" t="s">
        <v>734</v>
      </c>
      <c r="AC101" s="83"/>
      <c r="AD101" s="83"/>
    </row>
    <row r="102" spans="1:30" ht="47.25" customHeight="1" x14ac:dyDescent="0.25">
      <c r="A102" s="108">
        <v>147</v>
      </c>
      <c r="B102" s="108" t="s">
        <v>718</v>
      </c>
      <c r="C102" s="108" t="s">
        <v>719</v>
      </c>
      <c r="D102" s="109" t="s">
        <v>735</v>
      </c>
      <c r="E102" s="108">
        <v>3187.5</v>
      </c>
      <c r="F102" s="110">
        <v>45366</v>
      </c>
      <c r="G102" s="86" t="s">
        <v>27</v>
      </c>
      <c r="H102" s="27">
        <v>74</v>
      </c>
      <c r="I102" s="31">
        <v>3000</v>
      </c>
      <c r="J102" s="30">
        <v>45380</v>
      </c>
      <c r="K102" s="31" t="s">
        <v>736</v>
      </c>
      <c r="L102" s="32" t="s">
        <v>2</v>
      </c>
      <c r="M102" s="87" t="s">
        <v>737</v>
      </c>
      <c r="N102" s="72">
        <v>0</v>
      </c>
      <c r="O102" s="35">
        <v>0</v>
      </c>
      <c r="P102" s="34">
        <f t="shared" si="29"/>
        <v>0</v>
      </c>
      <c r="Q102" s="36">
        <f>I102*H102/2</f>
        <v>111000</v>
      </c>
      <c r="R102" s="37">
        <v>111000</v>
      </c>
      <c r="S102" s="36">
        <f t="shared" si="28"/>
        <v>0</v>
      </c>
      <c r="T102" s="74" t="s">
        <v>738</v>
      </c>
      <c r="U102" s="36">
        <v>1272000</v>
      </c>
      <c r="V102" s="38" t="s">
        <v>739</v>
      </c>
      <c r="W102" s="74" t="s">
        <v>740</v>
      </c>
      <c r="X102" s="197" t="s">
        <v>741</v>
      </c>
      <c r="Y102" s="77" t="s">
        <v>742</v>
      </c>
      <c r="Z102" s="38" t="s">
        <v>739</v>
      </c>
      <c r="AA102" s="197" t="s">
        <v>743</v>
      </c>
      <c r="AB102" s="85" t="s">
        <v>744</v>
      </c>
      <c r="AC102" s="83"/>
      <c r="AD102" s="83"/>
    </row>
    <row r="103" spans="1:30" ht="31.5" customHeight="1" x14ac:dyDescent="0.25">
      <c r="A103" s="108">
        <v>148</v>
      </c>
      <c r="B103" s="108" t="s">
        <v>718</v>
      </c>
      <c r="C103" s="108" t="s">
        <v>719</v>
      </c>
      <c r="D103" s="109" t="s">
        <v>745</v>
      </c>
      <c r="E103" s="108">
        <v>5694.15</v>
      </c>
      <c r="F103" s="110">
        <v>45366</v>
      </c>
      <c r="G103" s="86" t="s">
        <v>69</v>
      </c>
      <c r="H103" s="27">
        <v>79</v>
      </c>
      <c r="I103" s="31">
        <v>5236</v>
      </c>
      <c r="J103" s="30">
        <v>45386</v>
      </c>
      <c r="K103" s="31">
        <v>20</v>
      </c>
      <c r="L103" s="32" t="s">
        <v>55</v>
      </c>
      <c r="M103" s="87" t="s">
        <v>746</v>
      </c>
      <c r="N103" s="72">
        <v>0</v>
      </c>
      <c r="O103" s="35">
        <v>0</v>
      </c>
      <c r="P103" s="34">
        <f t="shared" si="29"/>
        <v>0</v>
      </c>
      <c r="Q103" s="36">
        <f>I103*H103/2</f>
        <v>206822</v>
      </c>
      <c r="R103" s="37">
        <v>206822</v>
      </c>
      <c r="S103" s="36">
        <f t="shared" si="28"/>
        <v>0</v>
      </c>
      <c r="T103" s="74" t="s">
        <v>747</v>
      </c>
      <c r="U103" s="36">
        <v>2220488</v>
      </c>
      <c r="V103" s="38" t="s">
        <v>383</v>
      </c>
      <c r="W103" s="74" t="s">
        <v>748</v>
      </c>
      <c r="X103" s="95" t="s">
        <v>749</v>
      </c>
      <c r="Y103" s="77" t="s">
        <v>750</v>
      </c>
      <c r="Z103" s="75" t="s">
        <v>383</v>
      </c>
      <c r="AA103" s="96" t="s">
        <v>751</v>
      </c>
      <c r="AB103" s="85" t="s">
        <v>752</v>
      </c>
      <c r="AC103" s="83"/>
      <c r="AD103" s="83"/>
    </row>
    <row r="104" spans="1:30" s="210" customFormat="1" ht="31.5" customHeight="1" x14ac:dyDescent="0.25">
      <c r="A104" s="108">
        <v>151</v>
      </c>
      <c r="B104" s="108" t="s">
        <v>718</v>
      </c>
      <c r="C104" s="108" t="s">
        <v>719</v>
      </c>
      <c r="D104" s="109" t="s">
        <v>753</v>
      </c>
      <c r="E104" s="108">
        <v>3905.92</v>
      </c>
      <c r="F104" s="110">
        <v>45367</v>
      </c>
      <c r="G104" s="86" t="s">
        <v>69</v>
      </c>
      <c r="H104" s="27">
        <v>79</v>
      </c>
      <c r="I104" s="31">
        <v>3905</v>
      </c>
      <c r="J104" s="30">
        <v>45388</v>
      </c>
      <c r="K104" s="31">
        <v>15</v>
      </c>
      <c r="L104" s="32" t="s">
        <v>55</v>
      </c>
      <c r="M104" s="87" t="s">
        <v>588</v>
      </c>
      <c r="N104" s="72">
        <v>0</v>
      </c>
      <c r="O104" s="35">
        <v>0</v>
      </c>
      <c r="P104" s="34">
        <f t="shared" si="29"/>
        <v>0</v>
      </c>
      <c r="Q104" s="36">
        <f>I104*H104/2</f>
        <v>154247.5</v>
      </c>
      <c r="R104" s="37">
        <v>154248</v>
      </c>
      <c r="S104" s="36">
        <v>0</v>
      </c>
      <c r="T104" s="74" t="s">
        <v>754</v>
      </c>
      <c r="U104" s="36">
        <v>1655720</v>
      </c>
      <c r="V104" s="38" t="s">
        <v>570</v>
      </c>
      <c r="W104" s="74" t="s">
        <v>755</v>
      </c>
      <c r="X104" s="95" t="s">
        <v>756</v>
      </c>
      <c r="Y104" s="77" t="s">
        <v>757</v>
      </c>
      <c r="Z104" s="38" t="s">
        <v>570</v>
      </c>
      <c r="AA104" s="96" t="s">
        <v>758</v>
      </c>
      <c r="AB104" s="85" t="s">
        <v>759</v>
      </c>
      <c r="AC104" s="83"/>
      <c r="AD104" s="83"/>
    </row>
    <row r="105" spans="1:30" ht="35.25" customHeight="1" x14ac:dyDescent="0.25">
      <c r="A105" s="90">
        <v>152</v>
      </c>
      <c r="B105" s="90" t="s">
        <v>718</v>
      </c>
      <c r="C105" s="90" t="s">
        <v>719</v>
      </c>
      <c r="D105" s="98" t="s">
        <v>760</v>
      </c>
      <c r="E105" s="90">
        <v>3346.88</v>
      </c>
      <c r="F105" s="91">
        <v>45367</v>
      </c>
      <c r="G105" s="198" t="s">
        <v>69</v>
      </c>
      <c r="H105" s="28">
        <v>79</v>
      </c>
      <c r="I105" s="211">
        <v>3346.88</v>
      </c>
      <c r="J105" s="200">
        <v>45630</v>
      </c>
      <c r="K105" s="199">
        <v>14</v>
      </c>
      <c r="L105" s="6" t="s">
        <v>55</v>
      </c>
      <c r="M105" s="212"/>
      <c r="N105" s="204">
        <f>I105*50</f>
        <v>167344</v>
      </c>
      <c r="O105" s="213">
        <v>0</v>
      </c>
      <c r="P105" s="213">
        <f>N105-O105</f>
        <v>167344</v>
      </c>
      <c r="Q105" s="204">
        <f>I105*H105/2</f>
        <v>132201.76</v>
      </c>
      <c r="R105" s="37">
        <v>132202</v>
      </c>
      <c r="S105" s="204">
        <f>Q105-R105</f>
        <v>-0.23999999999068677</v>
      </c>
      <c r="T105" s="186" t="s">
        <v>761</v>
      </c>
      <c r="U105" s="204">
        <v>1799610</v>
      </c>
      <c r="V105" s="189" t="s">
        <v>702</v>
      </c>
      <c r="W105" s="186" t="s">
        <v>762</v>
      </c>
      <c r="X105" s="214" t="s">
        <v>763</v>
      </c>
      <c r="Y105" s="188" t="s">
        <v>764</v>
      </c>
      <c r="Z105" s="189" t="s">
        <v>702</v>
      </c>
      <c r="AA105" s="215" t="s">
        <v>765</v>
      </c>
      <c r="AB105" s="209" t="s">
        <v>766</v>
      </c>
      <c r="AC105" s="189"/>
      <c r="AD105" s="189"/>
    </row>
    <row r="106" spans="1:30" ht="31.5" customHeight="1" x14ac:dyDescent="0.25">
      <c r="A106" s="108">
        <v>156</v>
      </c>
      <c r="B106" s="108" t="s">
        <v>718</v>
      </c>
      <c r="C106" s="108" t="s">
        <v>719</v>
      </c>
      <c r="D106" s="109" t="s">
        <v>767</v>
      </c>
      <c r="E106" s="108">
        <v>2205</v>
      </c>
      <c r="F106" s="110">
        <v>45371</v>
      </c>
      <c r="G106" s="86" t="s">
        <v>69</v>
      </c>
      <c r="H106" s="27">
        <v>79</v>
      </c>
      <c r="I106" s="29">
        <v>2194</v>
      </c>
      <c r="J106" s="30">
        <v>45387</v>
      </c>
      <c r="K106" s="31">
        <v>8</v>
      </c>
      <c r="L106" s="32" t="s">
        <v>55</v>
      </c>
      <c r="M106" s="122" t="s">
        <v>768</v>
      </c>
      <c r="N106" s="72">
        <v>0</v>
      </c>
      <c r="O106" s="35">
        <v>0</v>
      </c>
      <c r="P106" s="34">
        <f t="shared" ref="P106:P109" si="30">N106-O106</f>
        <v>0</v>
      </c>
      <c r="Q106" s="36">
        <f>I106*H106/2</f>
        <v>86663</v>
      </c>
      <c r="R106" s="37">
        <v>0</v>
      </c>
      <c r="S106" s="36">
        <f t="shared" ref="S106:S147" si="31">Q106-R106</f>
        <v>86663</v>
      </c>
      <c r="T106" s="74" t="s">
        <v>769</v>
      </c>
      <c r="U106" s="216" t="s">
        <v>770</v>
      </c>
      <c r="V106" s="75" t="s">
        <v>702</v>
      </c>
      <c r="W106" s="74" t="s">
        <v>771</v>
      </c>
      <c r="X106" s="95" t="s">
        <v>772</v>
      </c>
      <c r="Y106" s="77" t="s">
        <v>724</v>
      </c>
      <c r="Z106" s="75" t="s">
        <v>702</v>
      </c>
      <c r="AA106" s="141" t="s">
        <v>773</v>
      </c>
      <c r="AB106" s="85" t="s">
        <v>774</v>
      </c>
      <c r="AC106" s="217"/>
      <c r="AD106" s="217"/>
    </row>
    <row r="107" spans="1:30" ht="31.5" customHeight="1" x14ac:dyDescent="0.25">
      <c r="A107" s="108">
        <v>157</v>
      </c>
      <c r="B107" s="108" t="s">
        <v>718</v>
      </c>
      <c r="C107" s="108" t="s">
        <v>719</v>
      </c>
      <c r="D107" s="109" t="s">
        <v>775</v>
      </c>
      <c r="E107" s="108">
        <v>5999.04</v>
      </c>
      <c r="F107" s="110">
        <v>45371</v>
      </c>
      <c r="G107" s="86" t="s">
        <v>69</v>
      </c>
      <c r="H107" s="27">
        <v>79</v>
      </c>
      <c r="I107" s="31">
        <v>5735.4</v>
      </c>
      <c r="J107" s="30">
        <v>45008</v>
      </c>
      <c r="K107" s="31">
        <v>17</v>
      </c>
      <c r="L107" s="32" t="s">
        <v>55</v>
      </c>
      <c r="M107" s="122" t="s">
        <v>244</v>
      </c>
      <c r="N107" s="72">
        <v>0</v>
      </c>
      <c r="O107" s="35">
        <v>0</v>
      </c>
      <c r="P107" s="34">
        <f t="shared" si="30"/>
        <v>0</v>
      </c>
      <c r="Q107" s="36">
        <f>I107*H107/2</f>
        <v>226548.3</v>
      </c>
      <c r="R107" s="37">
        <v>188361</v>
      </c>
      <c r="S107" s="36">
        <f t="shared" si="31"/>
        <v>38187.299999999988</v>
      </c>
      <c r="T107" s="74" t="s">
        <v>539</v>
      </c>
      <c r="U107" s="36">
        <v>2432064</v>
      </c>
      <c r="V107" s="75" t="s">
        <v>48</v>
      </c>
      <c r="W107" s="74" t="s">
        <v>776</v>
      </c>
      <c r="X107" s="77" t="s">
        <v>777</v>
      </c>
      <c r="Y107" s="77" t="s">
        <v>778</v>
      </c>
      <c r="Z107" s="75" t="s">
        <v>48</v>
      </c>
      <c r="AA107" s="141" t="s">
        <v>779</v>
      </c>
      <c r="AB107" s="85" t="s">
        <v>780</v>
      </c>
      <c r="AC107" s="218"/>
      <c r="AD107" s="218"/>
    </row>
    <row r="108" spans="1:30" s="210" customFormat="1" ht="31.5" customHeight="1" x14ac:dyDescent="0.25">
      <c r="A108" s="108">
        <v>158</v>
      </c>
      <c r="B108" s="108" t="s">
        <v>718</v>
      </c>
      <c r="C108" s="108" t="s">
        <v>719</v>
      </c>
      <c r="D108" s="109" t="s">
        <v>781</v>
      </c>
      <c r="E108" s="108">
        <v>5737.5</v>
      </c>
      <c r="F108" s="110">
        <v>45371</v>
      </c>
      <c r="G108" s="86" t="s">
        <v>69</v>
      </c>
      <c r="H108" s="27">
        <v>79</v>
      </c>
      <c r="I108" s="31">
        <v>3986</v>
      </c>
      <c r="J108" s="30">
        <v>45418</v>
      </c>
      <c r="K108" s="31">
        <v>5</v>
      </c>
      <c r="L108" s="32" t="s">
        <v>2</v>
      </c>
      <c r="M108" s="87" t="s">
        <v>782</v>
      </c>
      <c r="N108" s="72">
        <v>0</v>
      </c>
      <c r="O108" s="35">
        <v>0</v>
      </c>
      <c r="P108" s="34">
        <f t="shared" si="30"/>
        <v>0</v>
      </c>
      <c r="Q108" s="36">
        <f>I108*H108/2</f>
        <v>157447</v>
      </c>
      <c r="R108" s="37">
        <v>79872</v>
      </c>
      <c r="S108" s="36">
        <f t="shared" si="31"/>
        <v>77575</v>
      </c>
      <c r="T108" s="74" t="s">
        <v>783</v>
      </c>
      <c r="U108" s="36">
        <v>1690064</v>
      </c>
      <c r="V108" s="75" t="s">
        <v>90</v>
      </c>
      <c r="W108" s="74" t="s">
        <v>784</v>
      </c>
      <c r="X108" s="77" t="s">
        <v>785</v>
      </c>
      <c r="Y108" s="77" t="s">
        <v>786</v>
      </c>
      <c r="Z108" s="75" t="s">
        <v>90</v>
      </c>
      <c r="AA108" s="141" t="s">
        <v>787</v>
      </c>
      <c r="AB108" s="85" t="s">
        <v>788</v>
      </c>
      <c r="AC108" s="218"/>
      <c r="AD108" s="218"/>
    </row>
    <row r="109" spans="1:30" s="210" customFormat="1" ht="47.25" customHeight="1" x14ac:dyDescent="0.25">
      <c r="A109" s="108">
        <v>159</v>
      </c>
      <c r="B109" s="108" t="s">
        <v>718</v>
      </c>
      <c r="C109" s="108" t="s">
        <v>719</v>
      </c>
      <c r="D109" s="109" t="s">
        <v>789</v>
      </c>
      <c r="E109" s="108">
        <v>5906.25</v>
      </c>
      <c r="F109" s="110">
        <v>45371</v>
      </c>
      <c r="G109" s="86" t="s">
        <v>69</v>
      </c>
      <c r="H109" s="27">
        <v>79</v>
      </c>
      <c r="I109" s="31">
        <v>4888</v>
      </c>
      <c r="J109" s="30">
        <v>45477</v>
      </c>
      <c r="K109" s="31">
        <v>4</v>
      </c>
      <c r="L109" s="32" t="s">
        <v>55</v>
      </c>
      <c r="M109" s="87" t="s">
        <v>80</v>
      </c>
      <c r="N109" s="72">
        <v>244400</v>
      </c>
      <c r="O109" s="35">
        <v>0</v>
      </c>
      <c r="P109" s="34">
        <f t="shared" si="30"/>
        <v>244400</v>
      </c>
      <c r="Q109" s="36">
        <f>I109*H109/2</f>
        <v>193076</v>
      </c>
      <c r="R109" s="37">
        <v>0</v>
      </c>
      <c r="S109" s="36">
        <f t="shared" si="31"/>
        <v>193076</v>
      </c>
      <c r="T109" s="74" t="s">
        <v>790</v>
      </c>
      <c r="U109" s="36">
        <v>2072512</v>
      </c>
      <c r="V109" s="38" t="s">
        <v>739</v>
      </c>
      <c r="W109" s="74" t="s">
        <v>791</v>
      </c>
      <c r="X109" s="77" t="s">
        <v>792</v>
      </c>
      <c r="Y109" s="77" t="s">
        <v>742</v>
      </c>
      <c r="Z109" s="38" t="s">
        <v>739</v>
      </c>
      <c r="AA109" s="141" t="s">
        <v>793</v>
      </c>
      <c r="AB109" s="85" t="s">
        <v>794</v>
      </c>
      <c r="AC109" s="218"/>
      <c r="AD109" s="218"/>
    </row>
    <row r="110" spans="1:30" ht="31.5" x14ac:dyDescent="0.25">
      <c r="A110" s="108">
        <v>162</v>
      </c>
      <c r="B110" s="108" t="s">
        <v>718</v>
      </c>
      <c r="C110" s="108" t="s">
        <v>719</v>
      </c>
      <c r="D110" s="109" t="s">
        <v>795</v>
      </c>
      <c r="E110" s="108">
        <v>6000</v>
      </c>
      <c r="F110" s="110">
        <v>45409</v>
      </c>
      <c r="G110" s="86" t="s">
        <v>69</v>
      </c>
      <c r="H110" s="27">
        <v>79</v>
      </c>
      <c r="I110" s="29">
        <v>5115</v>
      </c>
      <c r="J110" s="30">
        <v>45386</v>
      </c>
      <c r="K110" s="31">
        <v>12</v>
      </c>
      <c r="L110" s="32" t="s">
        <v>55</v>
      </c>
      <c r="M110" s="122" t="s">
        <v>796</v>
      </c>
      <c r="N110" s="72">
        <v>0</v>
      </c>
      <c r="O110" s="35">
        <v>0</v>
      </c>
      <c r="P110" s="34">
        <f>N110-O110</f>
        <v>0</v>
      </c>
      <c r="Q110" s="36">
        <f>I110*H110/2</f>
        <v>202042.5</v>
      </c>
      <c r="R110" s="37">
        <f>57093+118938</f>
        <v>176031</v>
      </c>
      <c r="S110" s="36">
        <f t="shared" si="31"/>
        <v>26011.5</v>
      </c>
      <c r="T110" s="74" t="s">
        <v>797</v>
      </c>
      <c r="U110" s="36">
        <v>2168760</v>
      </c>
      <c r="V110" s="75" t="s">
        <v>383</v>
      </c>
      <c r="W110" s="74" t="s">
        <v>798</v>
      </c>
      <c r="X110" s="95" t="s">
        <v>795</v>
      </c>
      <c r="Y110" s="77" t="s">
        <v>750</v>
      </c>
      <c r="Z110" s="75" t="s">
        <v>383</v>
      </c>
      <c r="AA110" s="141" t="s">
        <v>799</v>
      </c>
      <c r="AB110" s="85" t="s">
        <v>800</v>
      </c>
      <c r="AC110" s="218"/>
      <c r="AD110" s="218"/>
    </row>
    <row r="111" spans="1:30" s="23" customFormat="1" ht="31.5" customHeight="1" x14ac:dyDescent="0.25">
      <c r="A111" s="90">
        <v>164</v>
      </c>
      <c r="B111" s="90" t="s">
        <v>718</v>
      </c>
      <c r="C111" s="90" t="s">
        <v>801</v>
      </c>
      <c r="D111" s="98" t="s">
        <v>802</v>
      </c>
      <c r="E111" s="90">
        <v>14963.83</v>
      </c>
      <c r="F111" s="91">
        <v>45372</v>
      </c>
      <c r="G111" s="198" t="s">
        <v>69</v>
      </c>
      <c r="H111" s="28">
        <v>79</v>
      </c>
      <c r="I111" s="199">
        <v>13924</v>
      </c>
      <c r="J111" s="200">
        <v>45395</v>
      </c>
      <c r="K111" s="219" t="s">
        <v>803</v>
      </c>
      <c r="L111" s="32" t="s">
        <v>2</v>
      </c>
      <c r="M111" s="201" t="s">
        <v>804</v>
      </c>
      <c r="N111" s="202">
        <v>0</v>
      </c>
      <c r="O111" s="203">
        <v>0</v>
      </c>
      <c r="P111" s="203">
        <f t="shared" ref="P111:P115" si="32">N111-O111</f>
        <v>0</v>
      </c>
      <c r="Q111" s="204">
        <f t="shared" ref="Q111" si="33">I111*H111/2</f>
        <v>549998</v>
      </c>
      <c r="R111" s="205">
        <v>0</v>
      </c>
      <c r="S111" s="204">
        <f t="shared" si="31"/>
        <v>549998</v>
      </c>
      <c r="T111" s="125" t="s">
        <v>147</v>
      </c>
      <c r="U111" s="126">
        <v>0</v>
      </c>
      <c r="V111" s="127"/>
      <c r="W111" s="186" t="s">
        <v>805</v>
      </c>
      <c r="X111" s="207" t="s">
        <v>806</v>
      </c>
      <c r="Y111" s="188" t="s">
        <v>807</v>
      </c>
      <c r="Z111" s="189" t="s">
        <v>90</v>
      </c>
      <c r="AA111" s="189" t="s">
        <v>806</v>
      </c>
      <c r="AB111" s="188" t="s">
        <v>808</v>
      </c>
      <c r="AC111" s="79"/>
      <c r="AD111" s="79"/>
    </row>
    <row r="112" spans="1:30" ht="31.5" customHeight="1" x14ac:dyDescent="0.25">
      <c r="A112" s="108">
        <v>165</v>
      </c>
      <c r="B112" s="108" t="s">
        <v>718</v>
      </c>
      <c r="C112" s="108" t="s">
        <v>801</v>
      </c>
      <c r="D112" s="109" t="s">
        <v>492</v>
      </c>
      <c r="E112" s="108">
        <v>5859.38</v>
      </c>
      <c r="F112" s="110">
        <v>45367</v>
      </c>
      <c r="G112" s="86" t="s">
        <v>69</v>
      </c>
      <c r="H112" s="27">
        <v>79</v>
      </c>
      <c r="I112" s="31">
        <v>5859</v>
      </c>
      <c r="J112" s="30">
        <v>45379</v>
      </c>
      <c r="K112" s="31">
        <v>25</v>
      </c>
      <c r="L112" s="32" t="s">
        <v>55</v>
      </c>
      <c r="M112" s="87" t="s">
        <v>303</v>
      </c>
      <c r="N112" s="72">
        <v>0</v>
      </c>
      <c r="O112" s="35">
        <v>0</v>
      </c>
      <c r="P112" s="34">
        <f t="shared" si="32"/>
        <v>0</v>
      </c>
      <c r="Q112" s="36">
        <f>I112*H112/2</f>
        <v>231430.5</v>
      </c>
      <c r="R112" s="37">
        <v>0</v>
      </c>
      <c r="S112" s="36">
        <f t="shared" si="31"/>
        <v>231430.5</v>
      </c>
      <c r="T112" s="74" t="s">
        <v>809</v>
      </c>
      <c r="U112" s="36">
        <v>2484372</v>
      </c>
      <c r="V112" s="75" t="s">
        <v>48</v>
      </c>
      <c r="W112" s="74" t="s">
        <v>810</v>
      </c>
      <c r="X112" s="76" t="s">
        <v>811</v>
      </c>
      <c r="Y112" s="77" t="s">
        <v>812</v>
      </c>
      <c r="Z112" s="75" t="s">
        <v>48</v>
      </c>
      <c r="AA112" s="75" t="s">
        <v>813</v>
      </c>
      <c r="AB112" s="77" t="s">
        <v>814</v>
      </c>
      <c r="AC112" s="83"/>
      <c r="AD112" s="83"/>
    </row>
    <row r="113" spans="1:30" ht="31.5" customHeight="1" x14ac:dyDescent="0.25">
      <c r="A113" s="108">
        <v>166</v>
      </c>
      <c r="B113" s="108" t="s">
        <v>718</v>
      </c>
      <c r="C113" s="108" t="s">
        <v>801</v>
      </c>
      <c r="D113" s="109" t="s">
        <v>815</v>
      </c>
      <c r="E113" s="108">
        <v>5859.38</v>
      </c>
      <c r="F113" s="110">
        <v>45367</v>
      </c>
      <c r="G113" s="86" t="s">
        <v>69</v>
      </c>
      <c r="H113" s="27">
        <v>79</v>
      </c>
      <c r="I113" s="31">
        <v>5859</v>
      </c>
      <c r="J113" s="30">
        <v>45379</v>
      </c>
      <c r="K113" s="31">
        <v>24</v>
      </c>
      <c r="L113" s="32" t="s">
        <v>2</v>
      </c>
      <c r="M113" s="87" t="s">
        <v>303</v>
      </c>
      <c r="N113" s="72">
        <v>0</v>
      </c>
      <c r="O113" s="35">
        <v>0</v>
      </c>
      <c r="P113" s="34">
        <f t="shared" si="32"/>
        <v>0</v>
      </c>
      <c r="Q113" s="36">
        <f>I113*H113/2</f>
        <v>231430.5</v>
      </c>
      <c r="R113" s="37">
        <v>6386</v>
      </c>
      <c r="S113" s="36">
        <f t="shared" si="31"/>
        <v>225044.5</v>
      </c>
      <c r="T113" s="74" t="s">
        <v>816</v>
      </c>
      <c r="U113" s="36">
        <v>2484372</v>
      </c>
      <c r="V113" s="75" t="s">
        <v>48</v>
      </c>
      <c r="W113" s="74" t="s">
        <v>817</v>
      </c>
      <c r="X113" s="76" t="s">
        <v>818</v>
      </c>
      <c r="Y113" s="77" t="s">
        <v>812</v>
      </c>
      <c r="Z113" s="75" t="s">
        <v>48</v>
      </c>
      <c r="AA113" s="75" t="s">
        <v>819</v>
      </c>
      <c r="AB113" s="77" t="s">
        <v>820</v>
      </c>
      <c r="AC113" s="83"/>
      <c r="AD113" s="83"/>
    </row>
    <row r="114" spans="1:30" ht="31.5" customHeight="1" x14ac:dyDescent="0.25">
      <c r="A114" s="108">
        <v>167</v>
      </c>
      <c r="B114" s="108" t="s">
        <v>718</v>
      </c>
      <c r="C114" s="108" t="s">
        <v>801</v>
      </c>
      <c r="D114" s="109" t="s">
        <v>821</v>
      </c>
      <c r="E114" s="108">
        <v>6795</v>
      </c>
      <c r="F114" s="110">
        <v>45367</v>
      </c>
      <c r="G114" s="86" t="s">
        <v>69</v>
      </c>
      <c r="H114" s="27">
        <v>79</v>
      </c>
      <c r="I114" s="31">
        <v>6765</v>
      </c>
      <c r="J114" s="30">
        <v>45380</v>
      </c>
      <c r="K114" s="31" t="s">
        <v>736</v>
      </c>
      <c r="L114" s="32" t="s">
        <v>2</v>
      </c>
      <c r="M114" s="87" t="s">
        <v>822</v>
      </c>
      <c r="N114" s="72">
        <v>0</v>
      </c>
      <c r="O114" s="35">
        <v>0</v>
      </c>
      <c r="P114" s="34">
        <f t="shared" si="32"/>
        <v>0</v>
      </c>
      <c r="Q114" s="36">
        <f>I114*H114/2</f>
        <v>267217.5</v>
      </c>
      <c r="R114" s="37">
        <v>0</v>
      </c>
      <c r="S114" s="36">
        <f t="shared" si="31"/>
        <v>267217.5</v>
      </c>
      <c r="T114" s="74" t="s">
        <v>823</v>
      </c>
      <c r="U114" s="36">
        <v>1914495</v>
      </c>
      <c r="V114" s="75" t="s">
        <v>383</v>
      </c>
      <c r="W114" s="74" t="s">
        <v>824</v>
      </c>
      <c r="X114" s="76" t="s">
        <v>825</v>
      </c>
      <c r="Y114" s="77" t="s">
        <v>826</v>
      </c>
      <c r="Z114" s="75" t="s">
        <v>383</v>
      </c>
      <c r="AA114" s="75" t="s">
        <v>827</v>
      </c>
      <c r="AB114" s="77" t="s">
        <v>828</v>
      </c>
      <c r="AC114" s="83"/>
      <c r="AD114" s="83"/>
    </row>
    <row r="115" spans="1:30" ht="31.5" customHeight="1" x14ac:dyDescent="0.25">
      <c r="A115" s="137">
        <v>199</v>
      </c>
      <c r="B115" s="137" t="s">
        <v>718</v>
      </c>
      <c r="C115" s="137" t="s">
        <v>829</v>
      </c>
      <c r="D115" s="138" t="s">
        <v>830</v>
      </c>
      <c r="E115" s="137"/>
      <c r="F115" s="220"/>
      <c r="G115" s="26" t="s">
        <v>27</v>
      </c>
      <c r="H115" s="27">
        <v>74</v>
      </c>
      <c r="I115" s="29">
        <v>5000</v>
      </c>
      <c r="J115" s="30">
        <v>45288</v>
      </c>
      <c r="K115" s="31">
        <v>73</v>
      </c>
      <c r="L115" s="32" t="s">
        <v>2</v>
      </c>
      <c r="M115" s="102"/>
      <c r="N115" s="221">
        <v>0</v>
      </c>
      <c r="O115" s="222">
        <v>0</v>
      </c>
      <c r="P115" s="221">
        <f t="shared" si="32"/>
        <v>0</v>
      </c>
      <c r="Q115" s="36">
        <f t="shared" ref="Q115:Q122" si="34">I115*H115/2</f>
        <v>185000</v>
      </c>
      <c r="R115" s="37">
        <v>0</v>
      </c>
      <c r="S115" s="36">
        <f t="shared" si="31"/>
        <v>185000</v>
      </c>
      <c r="T115" s="104" t="s">
        <v>147</v>
      </c>
      <c r="U115" s="105">
        <v>0</v>
      </c>
      <c r="V115" s="106">
        <v>0</v>
      </c>
      <c r="W115" s="106">
        <v>0</v>
      </c>
      <c r="X115" s="106">
        <v>0</v>
      </c>
      <c r="Y115" s="106">
        <v>0</v>
      </c>
      <c r="Z115" s="106">
        <v>0</v>
      </c>
      <c r="AA115" s="76" t="s">
        <v>831</v>
      </c>
      <c r="AB115" s="77" t="s">
        <v>832</v>
      </c>
      <c r="AC115" s="83"/>
      <c r="AD115" s="83"/>
    </row>
    <row r="116" spans="1:30" ht="31.5" customHeight="1" x14ac:dyDescent="0.25">
      <c r="A116" s="108">
        <v>168</v>
      </c>
      <c r="B116" s="108" t="s">
        <v>718</v>
      </c>
      <c r="C116" s="108" t="s">
        <v>829</v>
      </c>
      <c r="D116" s="109" t="s">
        <v>833</v>
      </c>
      <c r="E116" s="108">
        <v>7391.25</v>
      </c>
      <c r="F116" s="110">
        <v>45367</v>
      </c>
      <c r="G116" s="26" t="s">
        <v>27</v>
      </c>
      <c r="H116" s="27">
        <v>74</v>
      </c>
      <c r="I116" s="29">
        <v>3000</v>
      </c>
      <c r="J116" s="30">
        <v>45411</v>
      </c>
      <c r="K116" s="31" t="s">
        <v>834</v>
      </c>
      <c r="L116" s="32" t="s">
        <v>55</v>
      </c>
      <c r="M116" s="87" t="s">
        <v>497</v>
      </c>
      <c r="N116" s="34">
        <v>0</v>
      </c>
      <c r="O116" s="35">
        <v>0</v>
      </c>
      <c r="P116" s="34">
        <f>N116-O116</f>
        <v>0</v>
      </c>
      <c r="Q116" s="36">
        <f t="shared" si="34"/>
        <v>111000</v>
      </c>
      <c r="R116" s="37">
        <v>25976</v>
      </c>
      <c r="S116" s="36">
        <f t="shared" si="31"/>
        <v>85024</v>
      </c>
      <c r="T116" s="104" t="s">
        <v>147</v>
      </c>
      <c r="U116" s="105">
        <v>0</v>
      </c>
      <c r="V116" s="106">
        <v>0</v>
      </c>
      <c r="W116" s="74" t="s">
        <v>835</v>
      </c>
      <c r="X116" s="149" t="s">
        <v>833</v>
      </c>
      <c r="Y116" s="77" t="s">
        <v>826</v>
      </c>
      <c r="Z116" s="75" t="s">
        <v>383</v>
      </c>
      <c r="AA116" s="101" t="s">
        <v>836</v>
      </c>
      <c r="AB116" s="39" t="s">
        <v>837</v>
      </c>
      <c r="AC116" s="83"/>
      <c r="AD116" s="83"/>
    </row>
    <row r="117" spans="1:30" ht="31.5" customHeight="1" x14ac:dyDescent="0.25">
      <c r="A117" s="108">
        <v>174</v>
      </c>
      <c r="B117" s="108" t="s">
        <v>718</v>
      </c>
      <c r="C117" s="108" t="s">
        <v>829</v>
      </c>
      <c r="D117" s="109" t="s">
        <v>838</v>
      </c>
      <c r="E117" s="108">
        <v>8197.2000000000007</v>
      </c>
      <c r="F117" s="110">
        <v>45366</v>
      </c>
      <c r="G117" s="26" t="s">
        <v>27</v>
      </c>
      <c r="H117" s="27">
        <v>74</v>
      </c>
      <c r="I117" s="31">
        <v>1368</v>
      </c>
      <c r="J117" s="30">
        <v>45386</v>
      </c>
      <c r="K117" s="31">
        <v>58</v>
      </c>
      <c r="L117" s="32" t="s">
        <v>55</v>
      </c>
      <c r="M117" s="122" t="s">
        <v>839</v>
      </c>
      <c r="N117" s="34">
        <v>0</v>
      </c>
      <c r="O117" s="35">
        <v>0</v>
      </c>
      <c r="P117" s="34">
        <f t="shared" ref="P117:P119" si="35">N117-O117</f>
        <v>0</v>
      </c>
      <c r="Q117" s="36">
        <f t="shared" si="34"/>
        <v>50616</v>
      </c>
      <c r="R117" s="37">
        <v>49160</v>
      </c>
      <c r="S117" s="36">
        <f t="shared" si="31"/>
        <v>1456</v>
      </c>
      <c r="T117" s="125" t="s">
        <v>147</v>
      </c>
      <c r="U117" s="126">
        <v>0</v>
      </c>
      <c r="V117" s="127">
        <v>0</v>
      </c>
      <c r="W117" s="93" t="s">
        <v>840</v>
      </c>
      <c r="X117" s="223" t="s">
        <v>841</v>
      </c>
      <c r="Y117" s="224" t="s">
        <v>842</v>
      </c>
      <c r="Z117" s="223" t="s">
        <v>682</v>
      </c>
      <c r="AA117" s="75" t="s">
        <v>843</v>
      </c>
      <c r="AB117" s="225" t="s">
        <v>844</v>
      </c>
      <c r="AC117" s="83"/>
      <c r="AD117" s="83"/>
    </row>
    <row r="118" spans="1:30" ht="31.5" customHeight="1" x14ac:dyDescent="0.25">
      <c r="A118" s="108">
        <v>177</v>
      </c>
      <c r="B118" s="108" t="s">
        <v>718</v>
      </c>
      <c r="C118" s="108" t="s">
        <v>829</v>
      </c>
      <c r="D118" s="109" t="s">
        <v>845</v>
      </c>
      <c r="E118" s="108">
        <v>3052.5</v>
      </c>
      <c r="F118" s="110">
        <v>45366</v>
      </c>
      <c r="G118" s="226" t="s">
        <v>27</v>
      </c>
      <c r="H118" s="27">
        <v>74</v>
      </c>
      <c r="I118" s="29">
        <v>3032</v>
      </c>
      <c r="J118" s="30">
        <v>45382</v>
      </c>
      <c r="K118" s="31">
        <v>103</v>
      </c>
      <c r="L118" s="32" t="s">
        <v>2</v>
      </c>
      <c r="M118" s="122" t="s">
        <v>3</v>
      </c>
      <c r="N118" s="73">
        <v>0</v>
      </c>
      <c r="O118" s="37">
        <v>0</v>
      </c>
      <c r="P118" s="73">
        <f t="shared" si="35"/>
        <v>0</v>
      </c>
      <c r="Q118" s="36">
        <f t="shared" si="34"/>
        <v>112184</v>
      </c>
      <c r="R118" s="37">
        <f>2167+110017</f>
        <v>112184</v>
      </c>
      <c r="S118" s="36">
        <f t="shared" si="31"/>
        <v>0</v>
      </c>
      <c r="T118" s="93" t="s">
        <v>846</v>
      </c>
      <c r="U118" s="227">
        <v>0</v>
      </c>
      <c r="V118" s="223" t="s">
        <v>651</v>
      </c>
      <c r="W118" s="74" t="s">
        <v>847</v>
      </c>
      <c r="X118" s="95" t="s">
        <v>848</v>
      </c>
      <c r="Y118" s="77" t="s">
        <v>849</v>
      </c>
      <c r="Z118" s="75" t="s">
        <v>651</v>
      </c>
      <c r="AA118" s="75" t="s">
        <v>850</v>
      </c>
      <c r="AB118" s="225" t="s">
        <v>851</v>
      </c>
      <c r="AC118" s="83"/>
      <c r="AD118" s="83"/>
    </row>
    <row r="119" spans="1:30" ht="48" customHeight="1" x14ac:dyDescent="0.25">
      <c r="A119" s="90">
        <v>178</v>
      </c>
      <c r="B119" s="90" t="s">
        <v>718</v>
      </c>
      <c r="C119" s="90" t="s">
        <v>829</v>
      </c>
      <c r="D119" s="98" t="s">
        <v>852</v>
      </c>
      <c r="E119" s="90">
        <v>3011.25</v>
      </c>
      <c r="F119" s="91">
        <v>45366</v>
      </c>
      <c r="G119" s="226" t="s">
        <v>69</v>
      </c>
      <c r="H119" s="27">
        <v>79</v>
      </c>
      <c r="I119" s="29">
        <v>3011</v>
      </c>
      <c r="J119" s="30">
        <v>45380</v>
      </c>
      <c r="K119" s="31">
        <v>34</v>
      </c>
      <c r="L119" s="32" t="s">
        <v>2</v>
      </c>
      <c r="M119" s="122" t="s">
        <v>853</v>
      </c>
      <c r="N119" s="73">
        <v>0</v>
      </c>
      <c r="O119" s="37">
        <v>0</v>
      </c>
      <c r="P119" s="73">
        <f t="shared" si="35"/>
        <v>0</v>
      </c>
      <c r="Q119" s="36">
        <f t="shared" si="34"/>
        <v>118934.5</v>
      </c>
      <c r="R119" s="37">
        <v>114694</v>
      </c>
      <c r="S119" s="36">
        <f t="shared" si="31"/>
        <v>4240.5</v>
      </c>
      <c r="T119" s="93" t="s">
        <v>854</v>
      </c>
      <c r="U119" s="227">
        <v>0</v>
      </c>
      <c r="V119" s="223" t="s">
        <v>383</v>
      </c>
      <c r="W119" s="74" t="s">
        <v>855</v>
      </c>
      <c r="X119" s="95" t="s">
        <v>856</v>
      </c>
      <c r="Y119" s="77" t="s">
        <v>857</v>
      </c>
      <c r="Z119" s="75" t="s">
        <v>383</v>
      </c>
      <c r="AA119" s="38" t="s">
        <v>858</v>
      </c>
      <c r="AB119" s="225" t="s">
        <v>859</v>
      </c>
      <c r="AC119" s="83"/>
      <c r="AD119" s="83"/>
    </row>
    <row r="120" spans="1:30" ht="31.5" customHeight="1" x14ac:dyDescent="0.25">
      <c r="A120" s="108">
        <v>179</v>
      </c>
      <c r="B120" s="108" t="s">
        <v>718</v>
      </c>
      <c r="C120" s="108" t="s">
        <v>829</v>
      </c>
      <c r="D120" s="109" t="s">
        <v>860</v>
      </c>
      <c r="E120" s="108">
        <v>1875</v>
      </c>
      <c r="F120" s="110">
        <v>45368</v>
      </c>
      <c r="G120" s="26" t="s">
        <v>27</v>
      </c>
      <c r="H120" s="27">
        <v>74</v>
      </c>
      <c r="I120" s="31">
        <v>1875</v>
      </c>
      <c r="J120" s="30">
        <v>45379</v>
      </c>
      <c r="K120" s="31">
        <v>85</v>
      </c>
      <c r="L120" s="32" t="s">
        <v>2</v>
      </c>
      <c r="M120" s="122" t="s">
        <v>861</v>
      </c>
      <c r="N120" s="34">
        <v>0</v>
      </c>
      <c r="O120" s="35">
        <v>0</v>
      </c>
      <c r="P120" s="34">
        <f>N120-O120</f>
        <v>0</v>
      </c>
      <c r="Q120" s="227">
        <f t="shared" si="34"/>
        <v>69375</v>
      </c>
      <c r="R120" s="228">
        <v>20480</v>
      </c>
      <c r="S120" s="227">
        <f t="shared" si="31"/>
        <v>48895</v>
      </c>
      <c r="T120" s="93" t="s">
        <v>862</v>
      </c>
      <c r="U120" s="227">
        <v>0</v>
      </c>
      <c r="V120" s="223" t="s">
        <v>290</v>
      </c>
      <c r="W120" s="93" t="s">
        <v>863</v>
      </c>
      <c r="X120" s="229" t="s">
        <v>864</v>
      </c>
      <c r="Y120" s="224" t="s">
        <v>865</v>
      </c>
      <c r="Z120" s="223" t="s">
        <v>290</v>
      </c>
      <c r="AA120" s="141" t="s">
        <v>866</v>
      </c>
      <c r="AB120" s="39" t="s">
        <v>867</v>
      </c>
      <c r="AC120" s="83"/>
      <c r="AD120" s="83"/>
    </row>
    <row r="121" spans="1:30" ht="31.5" customHeight="1" x14ac:dyDescent="0.25">
      <c r="A121" s="108">
        <v>181</v>
      </c>
      <c r="B121" s="108" t="s">
        <v>718</v>
      </c>
      <c r="C121" s="108" t="s">
        <v>829</v>
      </c>
      <c r="D121" s="109" t="s">
        <v>868</v>
      </c>
      <c r="E121" s="108">
        <v>11360.63</v>
      </c>
      <c r="F121" s="110">
        <v>45369</v>
      </c>
      <c r="G121" s="26" t="s">
        <v>69</v>
      </c>
      <c r="H121" s="31">
        <v>79</v>
      </c>
      <c r="I121" s="31">
        <v>8000</v>
      </c>
      <c r="J121" s="30">
        <v>45388</v>
      </c>
      <c r="K121" s="31">
        <v>8</v>
      </c>
      <c r="L121" s="32" t="s">
        <v>2</v>
      </c>
      <c r="M121" s="32" t="s">
        <v>4</v>
      </c>
      <c r="N121" s="73">
        <f>I121*50</f>
        <v>400000</v>
      </c>
      <c r="O121" s="37">
        <v>0</v>
      </c>
      <c r="P121" s="73">
        <f t="shared" ref="P121:P133" si="36">N121-O121</f>
        <v>400000</v>
      </c>
      <c r="Q121" s="36">
        <f t="shared" si="34"/>
        <v>316000</v>
      </c>
      <c r="R121" s="37">
        <v>7230</v>
      </c>
      <c r="S121" s="36">
        <f t="shared" si="31"/>
        <v>308770</v>
      </c>
      <c r="T121" s="104" t="s">
        <v>147</v>
      </c>
      <c r="U121" s="105">
        <v>0</v>
      </c>
      <c r="V121" s="230">
        <v>0</v>
      </c>
      <c r="W121" s="74" t="s">
        <v>869</v>
      </c>
      <c r="X121" s="231" t="s">
        <v>870</v>
      </c>
      <c r="Y121" s="77" t="s">
        <v>871</v>
      </c>
      <c r="Z121" s="223" t="s">
        <v>90</v>
      </c>
      <c r="AA121" s="231" t="s">
        <v>870</v>
      </c>
      <c r="AB121" s="225" t="s">
        <v>872</v>
      </c>
      <c r="AC121" s="83"/>
      <c r="AD121" s="83"/>
    </row>
    <row r="122" spans="1:30" ht="31.5" customHeight="1" x14ac:dyDescent="0.25">
      <c r="A122" s="108">
        <v>182</v>
      </c>
      <c r="B122" s="108" t="s">
        <v>718</v>
      </c>
      <c r="C122" s="108" t="s">
        <v>829</v>
      </c>
      <c r="D122" s="109" t="s">
        <v>873</v>
      </c>
      <c r="E122" s="108">
        <v>3980.44</v>
      </c>
      <c r="F122" s="110">
        <v>45369</v>
      </c>
      <c r="G122" s="26" t="s">
        <v>27</v>
      </c>
      <c r="H122" s="31">
        <v>79</v>
      </c>
      <c r="I122" s="29">
        <v>1265</v>
      </c>
      <c r="J122" s="30">
        <v>45380</v>
      </c>
      <c r="K122" s="31">
        <v>95</v>
      </c>
      <c r="L122" s="32" t="s">
        <v>2</v>
      </c>
      <c r="M122" s="122" t="s">
        <v>3</v>
      </c>
      <c r="N122" s="73">
        <v>0</v>
      </c>
      <c r="O122" s="37">
        <v>0</v>
      </c>
      <c r="P122" s="73">
        <f t="shared" si="36"/>
        <v>0</v>
      </c>
      <c r="Q122" s="36">
        <f t="shared" si="34"/>
        <v>49967.5</v>
      </c>
      <c r="R122" s="221">
        <v>51019</v>
      </c>
      <c r="S122" s="36">
        <f t="shared" si="31"/>
        <v>-1051.5</v>
      </c>
      <c r="T122" s="104" t="s">
        <v>147</v>
      </c>
      <c r="U122" s="105">
        <v>0</v>
      </c>
      <c r="V122" s="230">
        <v>0</v>
      </c>
      <c r="W122" s="74" t="s">
        <v>874</v>
      </c>
      <c r="X122" s="133" t="s">
        <v>873</v>
      </c>
      <c r="Y122" s="232" t="s">
        <v>875</v>
      </c>
      <c r="Z122" s="233" t="s">
        <v>876</v>
      </c>
      <c r="AA122" s="133" t="s">
        <v>877</v>
      </c>
      <c r="AB122" s="225" t="s">
        <v>878</v>
      </c>
      <c r="AC122" s="83"/>
      <c r="AD122" s="83"/>
    </row>
    <row r="123" spans="1:30" ht="26.25" customHeight="1" x14ac:dyDescent="0.25">
      <c r="A123" s="108">
        <v>184</v>
      </c>
      <c r="B123" s="108" t="s">
        <v>718</v>
      </c>
      <c r="C123" s="108" t="s">
        <v>829</v>
      </c>
      <c r="D123" s="109" t="s">
        <v>879</v>
      </c>
      <c r="E123" s="108">
        <v>5593.13</v>
      </c>
      <c r="F123" s="110">
        <v>45370</v>
      </c>
      <c r="G123" s="86" t="s">
        <v>27</v>
      </c>
      <c r="H123" s="27">
        <v>74</v>
      </c>
      <c r="I123" s="31">
        <v>3633</v>
      </c>
      <c r="J123" s="30">
        <v>45384</v>
      </c>
      <c r="K123" s="31">
        <v>106</v>
      </c>
      <c r="L123" s="32" t="s">
        <v>2</v>
      </c>
      <c r="M123" s="87" t="s">
        <v>880</v>
      </c>
      <c r="N123" s="73">
        <f>I123*50</f>
        <v>181650</v>
      </c>
      <c r="O123" s="37">
        <v>181650</v>
      </c>
      <c r="P123" s="73">
        <f t="shared" si="36"/>
        <v>0</v>
      </c>
      <c r="Q123" s="36">
        <f>I123*H123/2</f>
        <v>134421</v>
      </c>
      <c r="R123" s="37">
        <v>134421</v>
      </c>
      <c r="S123" s="36">
        <f t="shared" si="31"/>
        <v>0</v>
      </c>
      <c r="T123" s="125" t="s">
        <v>147</v>
      </c>
      <c r="U123" s="126">
        <v>0</v>
      </c>
      <c r="V123" s="127">
        <v>0</v>
      </c>
      <c r="W123" s="123" t="s">
        <v>881</v>
      </c>
      <c r="X123" s="39" t="s">
        <v>882</v>
      </c>
      <c r="Y123" s="77" t="s">
        <v>883</v>
      </c>
      <c r="Z123" s="75" t="s">
        <v>383</v>
      </c>
      <c r="AA123" s="39" t="s">
        <v>882</v>
      </c>
      <c r="AB123" s="39" t="s">
        <v>884</v>
      </c>
      <c r="AC123" s="83"/>
      <c r="AD123" s="83"/>
    </row>
    <row r="124" spans="1:30" ht="31.5" customHeight="1" x14ac:dyDescent="0.25">
      <c r="A124" s="108">
        <v>187</v>
      </c>
      <c r="B124" s="108" t="s">
        <v>718</v>
      </c>
      <c r="C124" s="108" t="s">
        <v>829</v>
      </c>
      <c r="D124" s="109" t="s">
        <v>885</v>
      </c>
      <c r="E124" s="108">
        <v>6777</v>
      </c>
      <c r="F124" s="110">
        <v>45372</v>
      </c>
      <c r="G124" s="26" t="s">
        <v>27</v>
      </c>
      <c r="H124" s="27">
        <v>74</v>
      </c>
      <c r="I124" s="31">
        <v>6472</v>
      </c>
      <c r="J124" s="30">
        <v>45382</v>
      </c>
      <c r="K124" s="31">
        <v>43</v>
      </c>
      <c r="L124" s="32" t="s">
        <v>2</v>
      </c>
      <c r="M124" s="122" t="s">
        <v>886</v>
      </c>
      <c r="N124" s="34">
        <v>0</v>
      </c>
      <c r="O124" s="35">
        <v>0</v>
      </c>
      <c r="P124" s="34">
        <f t="shared" si="36"/>
        <v>0</v>
      </c>
      <c r="Q124" s="36">
        <f t="shared" ref="Q124" si="37">I124*H124/2</f>
        <v>239464</v>
      </c>
      <c r="R124" s="37">
        <f>18283+7263</f>
        <v>25546</v>
      </c>
      <c r="S124" s="36">
        <f t="shared" si="31"/>
        <v>213918</v>
      </c>
      <c r="T124" s="74" t="s">
        <v>887</v>
      </c>
      <c r="U124" s="36">
        <v>300000</v>
      </c>
      <c r="V124" s="75" t="s">
        <v>702</v>
      </c>
      <c r="W124" s="74" t="s">
        <v>888</v>
      </c>
      <c r="X124" s="77" t="s">
        <v>889</v>
      </c>
      <c r="Y124" s="77" t="s">
        <v>890</v>
      </c>
      <c r="Z124" s="75" t="s">
        <v>702</v>
      </c>
      <c r="AA124" s="85" t="s">
        <v>891</v>
      </c>
      <c r="AB124" s="225" t="s">
        <v>892</v>
      </c>
      <c r="AC124" s="83"/>
      <c r="AD124" s="83"/>
    </row>
    <row r="125" spans="1:30" ht="31.5" customHeight="1" x14ac:dyDescent="0.25">
      <c r="A125" s="108">
        <v>190</v>
      </c>
      <c r="B125" s="108" t="s">
        <v>718</v>
      </c>
      <c r="C125" s="108" t="s">
        <v>829</v>
      </c>
      <c r="D125" s="109" t="s">
        <v>893</v>
      </c>
      <c r="E125" s="108">
        <v>5440.09</v>
      </c>
      <c r="F125" s="110">
        <v>45371</v>
      </c>
      <c r="G125" s="26" t="s">
        <v>69</v>
      </c>
      <c r="H125" s="27">
        <v>79</v>
      </c>
      <c r="I125" s="29">
        <v>4812</v>
      </c>
      <c r="J125" s="30">
        <v>45392</v>
      </c>
      <c r="K125" s="31">
        <v>102</v>
      </c>
      <c r="L125" s="32" t="s">
        <v>2</v>
      </c>
      <c r="M125" s="32" t="s">
        <v>4</v>
      </c>
      <c r="N125" s="73">
        <f>I125*50</f>
        <v>240600</v>
      </c>
      <c r="O125" s="37">
        <v>0</v>
      </c>
      <c r="P125" s="73">
        <f t="shared" si="36"/>
        <v>240600</v>
      </c>
      <c r="Q125" s="36">
        <f>I125*H125/2</f>
        <v>190074</v>
      </c>
      <c r="R125" s="37">
        <v>1900</v>
      </c>
      <c r="S125" s="36">
        <f t="shared" si="31"/>
        <v>188174</v>
      </c>
      <c r="T125" s="74" t="s">
        <v>894</v>
      </c>
      <c r="U125" s="36">
        <v>0</v>
      </c>
      <c r="V125" s="75" t="s">
        <v>895</v>
      </c>
      <c r="W125" s="123" t="s">
        <v>896</v>
      </c>
      <c r="X125" s="95" t="s">
        <v>897</v>
      </c>
      <c r="Y125" s="77" t="s">
        <v>898</v>
      </c>
      <c r="Z125" s="75" t="s">
        <v>895</v>
      </c>
      <c r="AA125" s="234" t="s">
        <v>899</v>
      </c>
      <c r="AB125" s="235" t="s">
        <v>900</v>
      </c>
      <c r="AC125" s="83"/>
      <c r="AD125" s="83"/>
    </row>
    <row r="126" spans="1:30" ht="30" customHeight="1" x14ac:dyDescent="0.25">
      <c r="A126" s="108">
        <v>191</v>
      </c>
      <c r="B126" s="108" t="s">
        <v>718</v>
      </c>
      <c r="C126" s="108" t="s">
        <v>829</v>
      </c>
      <c r="D126" s="109" t="s">
        <v>901</v>
      </c>
      <c r="E126" s="108">
        <v>5440.09</v>
      </c>
      <c r="F126" s="110">
        <v>45371</v>
      </c>
      <c r="G126" s="86" t="s">
        <v>69</v>
      </c>
      <c r="H126" s="27">
        <v>79</v>
      </c>
      <c r="I126" s="29">
        <v>5000</v>
      </c>
      <c r="J126" s="30">
        <v>45477</v>
      </c>
      <c r="K126" s="31">
        <v>101</v>
      </c>
      <c r="L126" s="236" t="s">
        <v>2</v>
      </c>
      <c r="M126" s="32" t="s">
        <v>4</v>
      </c>
      <c r="N126" s="73">
        <f>I126*50</f>
        <v>250000</v>
      </c>
      <c r="O126" s="37">
        <f>90078+51378</f>
        <v>141456</v>
      </c>
      <c r="P126" s="73">
        <f t="shared" si="36"/>
        <v>108544</v>
      </c>
      <c r="Q126" s="237">
        <f t="shared" ref="Q126:Q129" si="38">I126*H126/2</f>
        <v>197500</v>
      </c>
      <c r="R126" s="238">
        <v>197500</v>
      </c>
      <c r="S126" s="237">
        <f t="shared" si="31"/>
        <v>0</v>
      </c>
      <c r="T126" s="93" t="s">
        <v>902</v>
      </c>
      <c r="U126" s="227">
        <v>0</v>
      </c>
      <c r="V126" s="75" t="s">
        <v>895</v>
      </c>
      <c r="W126" s="123" t="s">
        <v>903</v>
      </c>
      <c r="X126" s="239" t="s">
        <v>904</v>
      </c>
      <c r="Y126" s="77" t="s">
        <v>898</v>
      </c>
      <c r="Z126" s="75" t="s">
        <v>895</v>
      </c>
      <c r="AA126" s="239" t="s">
        <v>904</v>
      </c>
      <c r="AB126" s="39" t="s">
        <v>905</v>
      </c>
      <c r="AC126" s="83"/>
      <c r="AD126" s="83"/>
    </row>
    <row r="127" spans="1:30" ht="47.25" customHeight="1" x14ac:dyDescent="0.25">
      <c r="A127" s="108">
        <v>192</v>
      </c>
      <c r="B127" s="108" t="s">
        <v>718</v>
      </c>
      <c r="C127" s="108" t="s">
        <v>829</v>
      </c>
      <c r="D127" s="109" t="s">
        <v>906</v>
      </c>
      <c r="E127" s="108">
        <v>2781.56</v>
      </c>
      <c r="F127" s="110">
        <v>45372</v>
      </c>
      <c r="G127" s="26" t="s">
        <v>27</v>
      </c>
      <c r="H127" s="27">
        <v>74</v>
      </c>
      <c r="I127" s="29">
        <v>2000</v>
      </c>
      <c r="J127" s="30">
        <v>45397</v>
      </c>
      <c r="K127" s="31">
        <v>113</v>
      </c>
      <c r="L127" s="32" t="s">
        <v>2</v>
      </c>
      <c r="M127" s="32" t="s">
        <v>4</v>
      </c>
      <c r="N127" s="73">
        <f>I127*50</f>
        <v>100000</v>
      </c>
      <c r="O127" s="37">
        <v>0</v>
      </c>
      <c r="P127" s="73">
        <f t="shared" si="36"/>
        <v>100000</v>
      </c>
      <c r="Q127" s="36">
        <f t="shared" si="38"/>
        <v>74000</v>
      </c>
      <c r="R127" s="37">
        <f>9479+1289+1289</f>
        <v>12057</v>
      </c>
      <c r="S127" s="36">
        <f t="shared" si="31"/>
        <v>61943</v>
      </c>
      <c r="T127" s="74" t="s">
        <v>907</v>
      </c>
      <c r="U127" s="36">
        <v>0</v>
      </c>
      <c r="V127" s="38" t="s">
        <v>739</v>
      </c>
      <c r="W127" s="123" t="s">
        <v>908</v>
      </c>
      <c r="X127" s="77" t="s">
        <v>909</v>
      </c>
      <c r="Y127" s="77" t="s">
        <v>742</v>
      </c>
      <c r="Z127" s="38" t="s">
        <v>739</v>
      </c>
      <c r="AA127" s="77" t="s">
        <v>909</v>
      </c>
      <c r="AB127" s="39" t="s">
        <v>910</v>
      </c>
      <c r="AC127" s="83"/>
      <c r="AD127" s="83"/>
    </row>
    <row r="128" spans="1:30" ht="26.25" customHeight="1" x14ac:dyDescent="0.25">
      <c r="A128" s="108">
        <v>194</v>
      </c>
      <c r="B128" s="108" t="s">
        <v>718</v>
      </c>
      <c r="C128" s="108" t="s">
        <v>829</v>
      </c>
      <c r="D128" s="109" t="s">
        <v>911</v>
      </c>
      <c r="E128" s="108">
        <v>5662</v>
      </c>
      <c r="F128" s="110">
        <v>45371</v>
      </c>
      <c r="G128" s="226" t="s">
        <v>27</v>
      </c>
      <c r="H128" s="27">
        <v>74</v>
      </c>
      <c r="I128" s="29">
        <v>1600</v>
      </c>
      <c r="J128" s="30">
        <v>45382</v>
      </c>
      <c r="K128" s="31">
        <v>90</v>
      </c>
      <c r="L128" s="32" t="s">
        <v>2</v>
      </c>
      <c r="M128" s="32" t="s">
        <v>4</v>
      </c>
      <c r="N128" s="73">
        <f>I128*50</f>
        <v>80000</v>
      </c>
      <c r="O128" s="37">
        <v>0</v>
      </c>
      <c r="P128" s="73">
        <f t="shared" si="36"/>
        <v>80000</v>
      </c>
      <c r="Q128" s="36">
        <f t="shared" si="38"/>
        <v>59200</v>
      </c>
      <c r="R128" s="37">
        <f>4100+9567</f>
        <v>13667</v>
      </c>
      <c r="S128" s="36">
        <f t="shared" si="31"/>
        <v>45533</v>
      </c>
      <c r="T128" s="74" t="s">
        <v>912</v>
      </c>
      <c r="U128" s="36">
        <v>0</v>
      </c>
      <c r="V128" s="75" t="s">
        <v>482</v>
      </c>
      <c r="W128" s="74" t="s">
        <v>913</v>
      </c>
      <c r="X128" s="231" t="s">
        <v>914</v>
      </c>
      <c r="Y128" s="77" t="s">
        <v>915</v>
      </c>
      <c r="Z128" s="75" t="s">
        <v>482</v>
      </c>
      <c r="AA128" s="141" t="s">
        <v>916</v>
      </c>
      <c r="AB128" s="39" t="s">
        <v>917</v>
      </c>
      <c r="AC128" s="83"/>
      <c r="AD128" s="83"/>
    </row>
    <row r="129" spans="1:31" ht="31.5" customHeight="1" x14ac:dyDescent="0.25">
      <c r="A129" s="108">
        <v>197</v>
      </c>
      <c r="B129" s="108" t="s">
        <v>718</v>
      </c>
      <c r="C129" s="108" t="s">
        <v>829</v>
      </c>
      <c r="D129" s="109" t="s">
        <v>918</v>
      </c>
      <c r="E129" s="108">
        <v>5761.54</v>
      </c>
      <c r="F129" s="110">
        <v>45371</v>
      </c>
      <c r="G129" s="26" t="s">
        <v>27</v>
      </c>
      <c r="H129" s="27">
        <v>74</v>
      </c>
      <c r="I129" s="29">
        <v>2780</v>
      </c>
      <c r="J129" s="30">
        <v>45383</v>
      </c>
      <c r="K129" s="31">
        <v>101</v>
      </c>
      <c r="L129" s="32" t="s">
        <v>2</v>
      </c>
      <c r="M129" s="87" t="s">
        <v>919</v>
      </c>
      <c r="N129" s="73">
        <v>0</v>
      </c>
      <c r="O129" s="37">
        <v>0</v>
      </c>
      <c r="P129" s="73">
        <f t="shared" si="36"/>
        <v>0</v>
      </c>
      <c r="Q129" s="36">
        <f t="shared" si="38"/>
        <v>102860</v>
      </c>
      <c r="R129" s="37">
        <v>102860</v>
      </c>
      <c r="S129" s="36">
        <f t="shared" si="31"/>
        <v>0</v>
      </c>
      <c r="T129" s="93" t="s">
        <v>920</v>
      </c>
      <c r="U129" s="227">
        <v>0</v>
      </c>
      <c r="V129" s="75" t="s">
        <v>383</v>
      </c>
      <c r="W129" s="74" t="s">
        <v>921</v>
      </c>
      <c r="X129" s="76" t="s">
        <v>922</v>
      </c>
      <c r="Y129" s="77" t="s">
        <v>923</v>
      </c>
      <c r="Z129" s="75" t="s">
        <v>383</v>
      </c>
      <c r="AA129" s="76" t="s">
        <v>924</v>
      </c>
      <c r="AB129" s="225" t="s">
        <v>925</v>
      </c>
      <c r="AC129" s="83"/>
      <c r="AD129" s="83"/>
    </row>
    <row r="130" spans="1:31" ht="26.25" customHeight="1" x14ac:dyDescent="0.25">
      <c r="A130" s="108">
        <v>198</v>
      </c>
      <c r="B130" s="108" t="s">
        <v>718</v>
      </c>
      <c r="C130" s="108" t="s">
        <v>829</v>
      </c>
      <c r="D130" s="109" t="s">
        <v>926</v>
      </c>
      <c r="E130" s="108">
        <v>4087.69</v>
      </c>
      <c r="F130" s="110">
        <v>45370</v>
      </c>
      <c r="G130" s="26" t="s">
        <v>27</v>
      </c>
      <c r="H130" s="27">
        <v>74</v>
      </c>
      <c r="I130" s="29">
        <v>2725</v>
      </c>
      <c r="J130" s="30">
        <v>45382</v>
      </c>
      <c r="K130" s="31">
        <v>105</v>
      </c>
      <c r="L130" s="32" t="s">
        <v>2</v>
      </c>
      <c r="M130" s="32" t="s">
        <v>4</v>
      </c>
      <c r="N130" s="73">
        <f>I130*50</f>
        <v>136250</v>
      </c>
      <c r="O130" s="37">
        <v>0</v>
      </c>
      <c r="P130" s="73">
        <f t="shared" si="36"/>
        <v>136250</v>
      </c>
      <c r="Q130" s="36">
        <v>107637</v>
      </c>
      <c r="R130" s="37">
        <v>86824</v>
      </c>
      <c r="S130" s="36">
        <f t="shared" si="31"/>
        <v>20813</v>
      </c>
      <c r="T130" s="104" t="s">
        <v>147</v>
      </c>
      <c r="U130" s="105">
        <v>0</v>
      </c>
      <c r="V130" s="106">
        <v>0</v>
      </c>
      <c r="W130" s="74" t="s">
        <v>927</v>
      </c>
      <c r="X130" s="95" t="s">
        <v>928</v>
      </c>
      <c r="Y130" s="77" t="s">
        <v>778</v>
      </c>
      <c r="Z130" s="77" t="s">
        <v>48</v>
      </c>
      <c r="AA130" s="76" t="s">
        <v>929</v>
      </c>
      <c r="AB130" s="77" t="s">
        <v>930</v>
      </c>
      <c r="AC130" s="83"/>
      <c r="AD130" s="83"/>
    </row>
    <row r="131" spans="1:31" ht="31.5" customHeight="1" x14ac:dyDescent="0.25">
      <c r="A131" s="108">
        <v>199</v>
      </c>
      <c r="B131" s="108" t="s">
        <v>718</v>
      </c>
      <c r="C131" s="108" t="s">
        <v>829</v>
      </c>
      <c r="D131" s="109" t="s">
        <v>830</v>
      </c>
      <c r="E131" s="108">
        <v>6149.25</v>
      </c>
      <c r="F131" s="110">
        <v>45458</v>
      </c>
      <c r="G131" s="26" t="s">
        <v>27</v>
      </c>
      <c r="H131" s="27">
        <v>74</v>
      </c>
      <c r="I131" s="29">
        <v>5000</v>
      </c>
      <c r="J131" s="30">
        <v>45448</v>
      </c>
      <c r="K131" s="31">
        <v>73</v>
      </c>
      <c r="L131" s="32" t="s">
        <v>2</v>
      </c>
      <c r="M131" s="87" t="s">
        <v>822</v>
      </c>
      <c r="N131" s="73">
        <v>0</v>
      </c>
      <c r="O131" s="37">
        <v>0</v>
      </c>
      <c r="P131" s="73">
        <f t="shared" si="36"/>
        <v>0</v>
      </c>
      <c r="Q131" s="36">
        <f t="shared" ref="Q131:Q135" si="39">I131*H131/2</f>
        <v>185000</v>
      </c>
      <c r="R131" s="37">
        <f>76495+7149+2398</f>
        <v>86042</v>
      </c>
      <c r="S131" s="36">
        <f t="shared" si="31"/>
        <v>98958</v>
      </c>
      <c r="T131" s="93" t="s">
        <v>931</v>
      </c>
      <c r="U131" s="227">
        <v>1100000</v>
      </c>
      <c r="V131" s="75" t="s">
        <v>383</v>
      </c>
      <c r="W131" s="74" t="s">
        <v>932</v>
      </c>
      <c r="X131" s="95" t="s">
        <v>933</v>
      </c>
      <c r="Y131" s="77" t="s">
        <v>934</v>
      </c>
      <c r="Z131" s="75" t="s">
        <v>383</v>
      </c>
      <c r="AA131" s="76" t="s">
        <v>831</v>
      </c>
      <c r="AB131" s="77" t="s">
        <v>832</v>
      </c>
      <c r="AC131" s="83"/>
      <c r="AD131" s="83"/>
    </row>
    <row r="132" spans="1:31" ht="31.5" customHeight="1" x14ac:dyDescent="0.25">
      <c r="A132" s="108">
        <v>201</v>
      </c>
      <c r="B132" s="108" t="s">
        <v>718</v>
      </c>
      <c r="C132" s="108" t="s">
        <v>829</v>
      </c>
      <c r="D132" s="109" t="s">
        <v>935</v>
      </c>
      <c r="E132" s="108">
        <v>2493.75</v>
      </c>
      <c r="F132" s="110">
        <v>45373</v>
      </c>
      <c r="G132" s="26" t="s">
        <v>27</v>
      </c>
      <c r="H132" s="27">
        <v>74</v>
      </c>
      <c r="I132" s="29">
        <v>1448</v>
      </c>
      <c r="J132" s="30">
        <v>45383</v>
      </c>
      <c r="K132" s="31">
        <v>107</v>
      </c>
      <c r="L132" s="32" t="s">
        <v>2</v>
      </c>
      <c r="M132" s="87" t="s">
        <v>936</v>
      </c>
      <c r="N132" s="73">
        <f>I132*50</f>
        <v>72400</v>
      </c>
      <c r="O132" s="37">
        <v>0</v>
      </c>
      <c r="P132" s="73">
        <f t="shared" si="36"/>
        <v>72400</v>
      </c>
      <c r="Q132" s="36">
        <f t="shared" si="39"/>
        <v>53576</v>
      </c>
      <c r="R132" s="37">
        <v>53576</v>
      </c>
      <c r="S132" s="36">
        <f t="shared" si="31"/>
        <v>0</v>
      </c>
      <c r="T132" s="125" t="s">
        <v>147</v>
      </c>
      <c r="U132" s="126">
        <v>0</v>
      </c>
      <c r="V132" s="127">
        <v>0</v>
      </c>
      <c r="W132" s="74" t="s">
        <v>937</v>
      </c>
      <c r="X132" s="95" t="s">
        <v>938</v>
      </c>
      <c r="Y132" s="77" t="s">
        <v>939</v>
      </c>
      <c r="Z132" s="75" t="s">
        <v>482</v>
      </c>
      <c r="AA132" s="95" t="s">
        <v>940</v>
      </c>
      <c r="AB132" s="225" t="s">
        <v>941</v>
      </c>
      <c r="AC132" s="83"/>
      <c r="AD132" s="83"/>
    </row>
    <row r="133" spans="1:31" ht="31.5" customHeight="1" x14ac:dyDescent="0.25">
      <c r="A133" s="108">
        <v>202</v>
      </c>
      <c r="B133" s="108" t="s">
        <v>718</v>
      </c>
      <c r="C133" s="108" t="s">
        <v>829</v>
      </c>
      <c r="D133" s="109" t="s">
        <v>942</v>
      </c>
      <c r="E133" s="108">
        <v>6150</v>
      </c>
      <c r="F133" s="110">
        <v>45373</v>
      </c>
      <c r="G133" s="26" t="s">
        <v>27</v>
      </c>
      <c r="H133" s="27">
        <v>74</v>
      </c>
      <c r="I133" s="31">
        <v>3075</v>
      </c>
      <c r="J133" s="30">
        <v>45382</v>
      </c>
      <c r="K133" s="31">
        <v>96</v>
      </c>
      <c r="L133" s="32" t="s">
        <v>2</v>
      </c>
      <c r="M133" s="32" t="s">
        <v>4</v>
      </c>
      <c r="N133" s="73">
        <f>I133*50</f>
        <v>153750</v>
      </c>
      <c r="O133" s="35">
        <v>0</v>
      </c>
      <c r="P133" s="73">
        <f t="shared" si="36"/>
        <v>153750</v>
      </c>
      <c r="Q133" s="36">
        <f t="shared" si="39"/>
        <v>113775</v>
      </c>
      <c r="R133" s="37">
        <f>73413+20969</f>
        <v>94382</v>
      </c>
      <c r="S133" s="36">
        <f t="shared" si="31"/>
        <v>19393</v>
      </c>
      <c r="T133" s="93" t="s">
        <v>416</v>
      </c>
      <c r="U133" s="227">
        <v>0</v>
      </c>
      <c r="V133" s="223" t="s">
        <v>132</v>
      </c>
      <c r="W133" s="93" t="s">
        <v>943</v>
      </c>
      <c r="X133" s="229" t="s">
        <v>944</v>
      </c>
      <c r="Y133" s="224" t="s">
        <v>945</v>
      </c>
      <c r="Z133" s="223" t="s">
        <v>132</v>
      </c>
      <c r="AA133" s="141" t="s">
        <v>946</v>
      </c>
      <c r="AB133" s="39" t="s">
        <v>947</v>
      </c>
      <c r="AC133" s="83"/>
      <c r="AD133" s="83"/>
    </row>
    <row r="134" spans="1:31" s="84" customFormat="1" ht="32.1" customHeight="1" x14ac:dyDescent="0.2">
      <c r="A134" s="240">
        <v>141</v>
      </c>
      <c r="B134" s="90" t="s">
        <v>718</v>
      </c>
      <c r="C134" s="90" t="s">
        <v>829</v>
      </c>
      <c r="D134" s="90" t="s">
        <v>948</v>
      </c>
      <c r="E134" s="241"/>
      <c r="F134" s="242"/>
      <c r="G134" s="26" t="s">
        <v>69</v>
      </c>
      <c r="H134" s="27">
        <v>79</v>
      </c>
      <c r="I134" s="29">
        <v>1995</v>
      </c>
      <c r="J134" s="30">
        <v>45383</v>
      </c>
      <c r="K134" s="31">
        <v>67</v>
      </c>
      <c r="L134" s="32" t="s">
        <v>2</v>
      </c>
      <c r="M134" s="87" t="s">
        <v>949</v>
      </c>
      <c r="N134" s="34">
        <v>0</v>
      </c>
      <c r="O134" s="35">
        <v>0</v>
      </c>
      <c r="P134" s="34">
        <f>N134-O134</f>
        <v>0</v>
      </c>
      <c r="Q134" s="36">
        <f t="shared" si="39"/>
        <v>78802.5</v>
      </c>
      <c r="R134" s="37">
        <f>36641+42162</f>
        <v>78803</v>
      </c>
      <c r="S134" s="36">
        <f t="shared" si="31"/>
        <v>-0.5</v>
      </c>
      <c r="T134" s="136"/>
      <c r="U134" s="143"/>
      <c r="V134" s="243"/>
      <c r="W134" s="74" t="s">
        <v>950</v>
      </c>
      <c r="X134" s="95" t="s">
        <v>951</v>
      </c>
      <c r="Y134" s="77" t="s">
        <v>923</v>
      </c>
      <c r="Z134" s="75" t="s">
        <v>383</v>
      </c>
      <c r="AA134" s="85" t="s">
        <v>952</v>
      </c>
      <c r="AB134" s="39" t="s">
        <v>953</v>
      </c>
      <c r="AC134" s="83"/>
      <c r="AD134" s="83"/>
    </row>
    <row r="135" spans="1:31" ht="30" customHeight="1" x14ac:dyDescent="0.25">
      <c r="A135" s="90">
        <v>204</v>
      </c>
      <c r="B135" s="90" t="s">
        <v>718</v>
      </c>
      <c r="C135" s="90" t="s">
        <v>954</v>
      </c>
      <c r="D135" s="98" t="s">
        <v>955</v>
      </c>
      <c r="E135" s="90">
        <v>5503.84</v>
      </c>
      <c r="F135" s="91">
        <v>45367</v>
      </c>
      <c r="G135" s="26" t="s">
        <v>27</v>
      </c>
      <c r="H135" s="27">
        <v>74</v>
      </c>
      <c r="I135" s="29">
        <v>5503</v>
      </c>
      <c r="J135" s="30">
        <v>45388</v>
      </c>
      <c r="K135" s="31">
        <v>102</v>
      </c>
      <c r="L135" s="32" t="s">
        <v>55</v>
      </c>
      <c r="M135" s="87" t="s">
        <v>303</v>
      </c>
      <c r="N135" s="34">
        <v>0</v>
      </c>
      <c r="O135" s="35">
        <v>0</v>
      </c>
      <c r="P135" s="34">
        <f>N135-O135</f>
        <v>0</v>
      </c>
      <c r="Q135" s="36">
        <f t="shared" si="39"/>
        <v>203611</v>
      </c>
      <c r="R135" s="37">
        <v>0</v>
      </c>
      <c r="S135" s="36">
        <f t="shared" si="31"/>
        <v>203611</v>
      </c>
      <c r="T135" s="104" t="s">
        <v>147</v>
      </c>
      <c r="U135" s="105">
        <v>0</v>
      </c>
      <c r="V135" s="106">
        <v>0</v>
      </c>
      <c r="W135" s="74" t="s">
        <v>956</v>
      </c>
      <c r="X135" s="95" t="s">
        <v>957</v>
      </c>
      <c r="Y135" s="77" t="s">
        <v>826</v>
      </c>
      <c r="Z135" s="75" t="s">
        <v>383</v>
      </c>
      <c r="AA135" s="85" t="s">
        <v>958</v>
      </c>
      <c r="AB135" s="39" t="s">
        <v>959</v>
      </c>
      <c r="AC135" s="83"/>
      <c r="AD135" s="83"/>
    </row>
    <row r="136" spans="1:31" ht="32.25" customHeight="1" x14ac:dyDescent="0.25">
      <c r="A136" s="90">
        <v>204</v>
      </c>
      <c r="B136" s="90" t="s">
        <v>718</v>
      </c>
      <c r="C136" s="90" t="s">
        <v>954</v>
      </c>
      <c r="D136" s="98" t="s">
        <v>960</v>
      </c>
      <c r="E136" s="90">
        <v>1837.5</v>
      </c>
      <c r="F136" s="91">
        <v>45369</v>
      </c>
      <c r="G136" s="26" t="s">
        <v>69</v>
      </c>
      <c r="H136" s="27">
        <v>79</v>
      </c>
      <c r="I136" s="29">
        <v>5447</v>
      </c>
      <c r="J136" s="30">
        <v>45588</v>
      </c>
      <c r="K136" s="31">
        <v>9</v>
      </c>
      <c r="L136" s="32" t="s">
        <v>55</v>
      </c>
      <c r="M136" s="87" t="s">
        <v>80</v>
      </c>
      <c r="N136" s="34">
        <f>I136*50</f>
        <v>272350</v>
      </c>
      <c r="O136" s="35">
        <v>226521</v>
      </c>
      <c r="P136" s="34">
        <f>N136-O136</f>
        <v>45829</v>
      </c>
      <c r="Q136" s="36">
        <f>I136*H136/2</f>
        <v>215156.5</v>
      </c>
      <c r="R136" s="37">
        <f>37826+27033</f>
        <v>64859</v>
      </c>
      <c r="S136" s="36">
        <f t="shared" si="31"/>
        <v>150297.5</v>
      </c>
      <c r="T136" s="104" t="s">
        <v>147</v>
      </c>
      <c r="U136" s="105">
        <v>0</v>
      </c>
      <c r="V136" s="106">
        <v>0</v>
      </c>
      <c r="W136" s="74" t="s">
        <v>869</v>
      </c>
      <c r="X136" s="95" t="s">
        <v>961</v>
      </c>
      <c r="Y136" s="77" t="s">
        <v>871</v>
      </c>
      <c r="Z136" s="75" t="s">
        <v>90</v>
      </c>
      <c r="AA136" s="101" t="s">
        <v>870</v>
      </c>
      <c r="AB136" s="39" t="s">
        <v>872</v>
      </c>
      <c r="AC136" s="83"/>
      <c r="AD136" s="83"/>
    </row>
    <row r="137" spans="1:31" s="84" customFormat="1" ht="31.5" customHeight="1" x14ac:dyDescent="0.25">
      <c r="A137" s="80">
        <v>205</v>
      </c>
      <c r="B137" s="80" t="s">
        <v>962</v>
      </c>
      <c r="C137" s="80" t="s">
        <v>963</v>
      </c>
      <c r="D137" s="81" t="s">
        <v>964</v>
      </c>
      <c r="E137" s="80">
        <v>1097.4000000000001</v>
      </c>
      <c r="F137" s="82">
        <v>45366</v>
      </c>
      <c r="G137" s="86" t="s">
        <v>27</v>
      </c>
      <c r="H137" s="27">
        <v>74</v>
      </c>
      <c r="I137" s="29">
        <v>1000</v>
      </c>
      <c r="J137" s="30">
        <v>45374</v>
      </c>
      <c r="K137" s="74" t="s">
        <v>965</v>
      </c>
      <c r="L137" s="32" t="s">
        <v>2</v>
      </c>
      <c r="M137" s="122" t="s">
        <v>966</v>
      </c>
      <c r="N137" s="34">
        <v>0</v>
      </c>
      <c r="O137" s="35">
        <v>0</v>
      </c>
      <c r="P137" s="34">
        <f t="shared" ref="P137:P143" si="40">N137-O137</f>
        <v>0</v>
      </c>
      <c r="Q137" s="36">
        <v>37000</v>
      </c>
      <c r="R137" s="37">
        <v>37000</v>
      </c>
      <c r="S137" s="36">
        <f t="shared" si="31"/>
        <v>0</v>
      </c>
      <c r="T137" s="123" t="s">
        <v>967</v>
      </c>
      <c r="U137" s="244" t="s">
        <v>968</v>
      </c>
      <c r="V137" s="75" t="s">
        <v>90</v>
      </c>
      <c r="W137" s="123" t="s">
        <v>969</v>
      </c>
      <c r="X137" s="197" t="s">
        <v>970</v>
      </c>
      <c r="Y137" s="77" t="s">
        <v>971</v>
      </c>
      <c r="Z137" s="75" t="s">
        <v>90</v>
      </c>
      <c r="AA137" s="197" t="s">
        <v>972</v>
      </c>
      <c r="AB137" s="85" t="s">
        <v>973</v>
      </c>
      <c r="AC137" s="83"/>
      <c r="AD137" s="83"/>
      <c r="AE137" s="245" t="s">
        <v>974</v>
      </c>
    </row>
    <row r="138" spans="1:31" s="23" customFormat="1" ht="21.75" customHeight="1" x14ac:dyDescent="0.25">
      <c r="A138" s="108">
        <v>206</v>
      </c>
      <c r="B138" s="108" t="s">
        <v>962</v>
      </c>
      <c r="C138" s="108" t="s">
        <v>963</v>
      </c>
      <c r="D138" s="109" t="s">
        <v>975</v>
      </c>
      <c r="E138" s="108">
        <v>2194.4</v>
      </c>
      <c r="F138" s="110">
        <v>45370</v>
      </c>
      <c r="G138" s="86" t="s">
        <v>27</v>
      </c>
      <c r="H138" s="27">
        <v>74</v>
      </c>
      <c r="I138" s="29">
        <v>2194</v>
      </c>
      <c r="J138" s="30">
        <v>45392</v>
      </c>
      <c r="K138" s="74" t="s">
        <v>965</v>
      </c>
      <c r="L138" s="32" t="s">
        <v>55</v>
      </c>
      <c r="M138" s="246"/>
      <c r="N138" s="35">
        <f>I138*50</f>
        <v>109700</v>
      </c>
      <c r="O138" s="35">
        <v>0</v>
      </c>
      <c r="P138" s="35">
        <f t="shared" si="40"/>
        <v>109700</v>
      </c>
      <c r="Q138" s="36">
        <v>81180</v>
      </c>
      <c r="R138" s="37">
        <f>29961+23303</f>
        <v>53264</v>
      </c>
      <c r="S138" s="36">
        <f t="shared" si="31"/>
        <v>27916</v>
      </c>
      <c r="T138" s="74" t="s">
        <v>976</v>
      </c>
      <c r="U138" s="36">
        <v>620000</v>
      </c>
      <c r="V138" s="247" t="s">
        <v>689</v>
      </c>
      <c r="W138" s="123" t="s">
        <v>977</v>
      </c>
      <c r="X138" s="197" t="s">
        <v>978</v>
      </c>
      <c r="Y138" s="77" t="s">
        <v>692</v>
      </c>
      <c r="Z138" s="95" t="s">
        <v>689</v>
      </c>
      <c r="AA138" s="197" t="s">
        <v>979</v>
      </c>
      <c r="AB138" s="85" t="s">
        <v>980</v>
      </c>
      <c r="AC138" s="83"/>
      <c r="AD138" s="83"/>
    </row>
    <row r="139" spans="1:31" s="84" customFormat="1" ht="31.5" customHeight="1" x14ac:dyDescent="0.25">
      <c r="A139" s="80">
        <v>211</v>
      </c>
      <c r="B139" s="80" t="s">
        <v>962</v>
      </c>
      <c r="C139" s="80" t="s">
        <v>981</v>
      </c>
      <c r="D139" s="81" t="s">
        <v>982</v>
      </c>
      <c r="E139" s="80">
        <v>3543.75</v>
      </c>
      <c r="F139" s="82">
        <v>45370</v>
      </c>
      <c r="G139" s="86" t="s">
        <v>69</v>
      </c>
      <c r="H139" s="27">
        <v>79</v>
      </c>
      <c r="I139" s="29">
        <v>2376</v>
      </c>
      <c r="J139" s="30">
        <v>45387</v>
      </c>
      <c r="K139" s="31">
        <v>50</v>
      </c>
      <c r="L139" s="32" t="s">
        <v>55</v>
      </c>
      <c r="M139" s="122" t="s">
        <v>983</v>
      </c>
      <c r="N139" s="34">
        <v>0</v>
      </c>
      <c r="O139" s="35">
        <v>0</v>
      </c>
      <c r="P139" s="34">
        <f t="shared" si="40"/>
        <v>0</v>
      </c>
      <c r="Q139" s="36">
        <f>I139*H139/2</f>
        <v>93852</v>
      </c>
      <c r="R139" s="37">
        <v>93852</v>
      </c>
      <c r="S139" s="36">
        <f t="shared" si="31"/>
        <v>0</v>
      </c>
      <c r="T139" s="248" t="s">
        <v>147</v>
      </c>
      <c r="U139" s="249">
        <v>0</v>
      </c>
      <c r="V139" s="250">
        <v>0</v>
      </c>
      <c r="W139" s="123" t="s">
        <v>984</v>
      </c>
      <c r="X139" s="76" t="s">
        <v>985</v>
      </c>
      <c r="Y139" s="77" t="s">
        <v>986</v>
      </c>
      <c r="Z139" s="77" t="s">
        <v>48</v>
      </c>
      <c r="AA139" s="76" t="s">
        <v>987</v>
      </c>
      <c r="AB139" s="77" t="s">
        <v>988</v>
      </c>
      <c r="AC139" s="83"/>
      <c r="AD139" s="83"/>
    </row>
    <row r="140" spans="1:31" s="84" customFormat="1" ht="31.5" customHeight="1" x14ac:dyDescent="0.25">
      <c r="A140" s="80">
        <v>216</v>
      </c>
      <c r="B140" s="80" t="s">
        <v>962</v>
      </c>
      <c r="C140" s="80" t="s">
        <v>981</v>
      </c>
      <c r="D140" s="81" t="s">
        <v>989</v>
      </c>
      <c r="E140" s="80">
        <v>5596.88</v>
      </c>
      <c r="F140" s="82">
        <v>45368</v>
      </c>
      <c r="G140" s="86" t="s">
        <v>27</v>
      </c>
      <c r="H140" s="27">
        <v>74</v>
      </c>
      <c r="I140" s="29">
        <v>5596</v>
      </c>
      <c r="J140" s="30">
        <v>45387</v>
      </c>
      <c r="K140" s="217"/>
      <c r="L140" s="32" t="s">
        <v>55</v>
      </c>
      <c r="M140" s="122" t="s">
        <v>990</v>
      </c>
      <c r="N140" s="34">
        <v>0</v>
      </c>
      <c r="O140" s="35">
        <v>0</v>
      </c>
      <c r="P140" s="34">
        <f t="shared" si="40"/>
        <v>0</v>
      </c>
      <c r="Q140" s="36">
        <f>I140*H140/2</f>
        <v>207052</v>
      </c>
      <c r="R140" s="37">
        <v>207052</v>
      </c>
      <c r="S140" s="36">
        <f t="shared" si="31"/>
        <v>0</v>
      </c>
      <c r="T140" s="74" t="s">
        <v>991</v>
      </c>
      <c r="U140" s="36">
        <v>101556</v>
      </c>
      <c r="V140" s="223" t="s">
        <v>48</v>
      </c>
      <c r="W140" s="123" t="s">
        <v>992</v>
      </c>
      <c r="X140" s="77" t="s">
        <v>993</v>
      </c>
      <c r="Y140" s="77" t="s">
        <v>986</v>
      </c>
      <c r="Z140" s="77" t="s">
        <v>48</v>
      </c>
      <c r="AA140" s="76" t="s">
        <v>994</v>
      </c>
      <c r="AB140" s="85" t="s">
        <v>995</v>
      </c>
      <c r="AC140" s="83"/>
      <c r="AD140" s="83"/>
    </row>
    <row r="141" spans="1:31" s="84" customFormat="1" ht="31.5" customHeight="1" x14ac:dyDescent="0.25">
      <c r="A141" s="80">
        <v>216</v>
      </c>
      <c r="B141" s="80" t="s">
        <v>962</v>
      </c>
      <c r="C141" s="80" t="s">
        <v>981</v>
      </c>
      <c r="D141" s="81" t="s">
        <v>996</v>
      </c>
      <c r="E141" s="80">
        <v>2784.38</v>
      </c>
      <c r="F141" s="82"/>
      <c r="G141" s="86" t="s">
        <v>69</v>
      </c>
      <c r="H141" s="27">
        <v>79</v>
      </c>
      <c r="I141" s="29">
        <v>2784.38</v>
      </c>
      <c r="J141" s="30">
        <v>45650</v>
      </c>
      <c r="K141" s="217">
        <v>1</v>
      </c>
      <c r="L141" s="32" t="s">
        <v>55</v>
      </c>
      <c r="M141" s="212"/>
      <c r="N141" s="221">
        <v>0</v>
      </c>
      <c r="O141" s="221">
        <v>0</v>
      </c>
      <c r="P141" s="221">
        <f t="shared" si="40"/>
        <v>0</v>
      </c>
      <c r="Q141" s="36">
        <f>I141*H141/2</f>
        <v>109983.01000000001</v>
      </c>
      <c r="R141" s="37">
        <v>0</v>
      </c>
      <c r="S141" s="36">
        <f t="shared" si="31"/>
        <v>109983.01000000001</v>
      </c>
      <c r="T141" s="125" t="s">
        <v>147</v>
      </c>
      <c r="U141" s="126">
        <v>0</v>
      </c>
      <c r="V141" s="230">
        <v>0</v>
      </c>
      <c r="W141" s="123" t="s">
        <v>997</v>
      </c>
      <c r="X141" s="77" t="s">
        <v>996</v>
      </c>
      <c r="Y141" s="77" t="s">
        <v>986</v>
      </c>
      <c r="Z141" s="77" t="s">
        <v>48</v>
      </c>
      <c r="AA141" s="76" t="s">
        <v>998</v>
      </c>
      <c r="AB141" s="85" t="s">
        <v>999</v>
      </c>
      <c r="AC141" s="83"/>
      <c r="AD141" s="83"/>
    </row>
    <row r="142" spans="1:31" s="84" customFormat="1" ht="31.5" customHeight="1" x14ac:dyDescent="0.25">
      <c r="A142" s="80">
        <v>216</v>
      </c>
      <c r="B142" s="80" t="s">
        <v>962</v>
      </c>
      <c r="C142" s="80" t="s">
        <v>981</v>
      </c>
      <c r="D142" s="81" t="s">
        <v>1000</v>
      </c>
      <c r="E142" s="80">
        <v>4147</v>
      </c>
      <c r="F142" s="82"/>
      <c r="G142" s="86" t="s">
        <v>69</v>
      </c>
      <c r="H142" s="27">
        <v>79</v>
      </c>
      <c r="I142" s="29">
        <v>4147</v>
      </c>
      <c r="J142" s="30">
        <v>45695</v>
      </c>
      <c r="K142" s="217">
        <v>1</v>
      </c>
      <c r="L142" s="32" t="s">
        <v>2</v>
      </c>
      <c r="M142" s="212"/>
      <c r="N142" s="34">
        <f>I142*50</f>
        <v>207350</v>
      </c>
      <c r="O142" s="35">
        <v>0</v>
      </c>
      <c r="P142" s="34">
        <f t="shared" si="40"/>
        <v>207350</v>
      </c>
      <c r="Q142" s="36">
        <f>I142*H142/2</f>
        <v>163806.5</v>
      </c>
      <c r="R142" s="37">
        <v>12874</v>
      </c>
      <c r="S142" s="36">
        <f t="shared" si="31"/>
        <v>150932.5</v>
      </c>
      <c r="T142" s="125" t="s">
        <v>147</v>
      </c>
      <c r="U142" s="126">
        <v>0</v>
      </c>
      <c r="V142" s="230">
        <v>0</v>
      </c>
      <c r="W142" s="123" t="s">
        <v>1001</v>
      </c>
      <c r="X142" s="77" t="s">
        <v>1000</v>
      </c>
      <c r="Y142" s="77" t="s">
        <v>1002</v>
      </c>
      <c r="Z142" s="77" t="s">
        <v>702</v>
      </c>
      <c r="AA142" s="76" t="s">
        <v>733</v>
      </c>
      <c r="AB142" s="85" t="s">
        <v>1003</v>
      </c>
      <c r="AC142" s="83"/>
      <c r="AD142" s="83"/>
    </row>
    <row r="143" spans="1:31" s="84" customFormat="1" ht="31.5" customHeight="1" x14ac:dyDescent="0.25">
      <c r="A143" s="80">
        <v>216</v>
      </c>
      <c r="B143" s="80" t="s">
        <v>962</v>
      </c>
      <c r="C143" s="80" t="s">
        <v>981</v>
      </c>
      <c r="D143" s="81" t="s">
        <v>1004</v>
      </c>
      <c r="E143" s="80">
        <v>1917</v>
      </c>
      <c r="F143" s="82"/>
      <c r="G143" s="86" t="s">
        <v>69</v>
      </c>
      <c r="H143" s="27">
        <v>79</v>
      </c>
      <c r="I143" s="29">
        <v>1917</v>
      </c>
      <c r="J143" s="30">
        <v>45645</v>
      </c>
      <c r="K143" s="217">
        <v>1</v>
      </c>
      <c r="L143" s="32" t="s">
        <v>55</v>
      </c>
      <c r="M143" s="122" t="s">
        <v>1005</v>
      </c>
      <c r="N143" s="34">
        <v>0</v>
      </c>
      <c r="O143" s="35">
        <v>0</v>
      </c>
      <c r="P143" s="34">
        <f t="shared" si="40"/>
        <v>0</v>
      </c>
      <c r="Q143" s="36">
        <f>I143*H143/2</f>
        <v>75721.5</v>
      </c>
      <c r="R143" s="37">
        <v>0</v>
      </c>
      <c r="S143" s="36">
        <f t="shared" si="31"/>
        <v>75721.5</v>
      </c>
      <c r="T143" s="125" t="s">
        <v>147</v>
      </c>
      <c r="U143" s="126">
        <v>0</v>
      </c>
      <c r="V143" s="230">
        <v>0</v>
      </c>
      <c r="W143" s="123" t="s">
        <v>1006</v>
      </c>
      <c r="X143" s="77" t="s">
        <v>1007</v>
      </c>
      <c r="Y143" s="77" t="s">
        <v>986</v>
      </c>
      <c r="Z143" s="77" t="s">
        <v>48</v>
      </c>
      <c r="AA143" s="76" t="s">
        <v>1007</v>
      </c>
      <c r="AB143" s="85" t="s">
        <v>1008</v>
      </c>
      <c r="AC143" s="83"/>
      <c r="AD143" s="83"/>
    </row>
    <row r="144" spans="1:31" ht="30.75" customHeight="1" x14ac:dyDescent="0.25">
      <c r="A144" s="108">
        <v>220</v>
      </c>
      <c r="B144" s="108" t="s">
        <v>962</v>
      </c>
      <c r="C144" s="108" t="s">
        <v>1009</v>
      </c>
      <c r="D144" s="109" t="s">
        <v>1010</v>
      </c>
      <c r="E144" s="108">
        <v>601.29999999999995</v>
      </c>
      <c r="F144" s="110">
        <v>45593</v>
      </c>
      <c r="G144" s="86" t="s">
        <v>69</v>
      </c>
      <c r="H144" s="27">
        <v>79</v>
      </c>
      <c r="I144" s="29">
        <v>601</v>
      </c>
      <c r="J144" s="30">
        <v>45605</v>
      </c>
      <c r="K144" s="31">
        <v>31</v>
      </c>
      <c r="L144" s="32" t="s">
        <v>2</v>
      </c>
      <c r="M144" s="32" t="s">
        <v>4</v>
      </c>
      <c r="N144" s="34">
        <f>I144*50</f>
        <v>30050</v>
      </c>
      <c r="O144" s="35">
        <v>30050</v>
      </c>
      <c r="P144" s="251">
        <f>N144-O144</f>
        <v>0</v>
      </c>
      <c r="Q144" s="36">
        <f>I144*H144/2</f>
        <v>23739.5</v>
      </c>
      <c r="R144" s="37">
        <v>23740</v>
      </c>
      <c r="S144" s="36">
        <f t="shared" si="31"/>
        <v>-0.5</v>
      </c>
      <c r="T144" s="74" t="s">
        <v>1011</v>
      </c>
      <c r="U144" s="36">
        <v>156300</v>
      </c>
      <c r="V144" s="252" t="s">
        <v>702</v>
      </c>
      <c r="W144" s="74" t="s">
        <v>1012</v>
      </c>
      <c r="X144" s="253" t="s">
        <v>1013</v>
      </c>
      <c r="Y144" s="77" t="s">
        <v>1014</v>
      </c>
      <c r="Z144" s="252" t="s">
        <v>702</v>
      </c>
      <c r="AA144" s="253" t="s">
        <v>1015</v>
      </c>
      <c r="AB144" s="39" t="s">
        <v>1016</v>
      </c>
      <c r="AC144" s="83"/>
      <c r="AD144" s="83"/>
    </row>
    <row r="145" spans="1:30" ht="30.75" customHeight="1" x14ac:dyDescent="0.25">
      <c r="A145" s="108">
        <v>220</v>
      </c>
      <c r="B145" s="108" t="s">
        <v>962</v>
      </c>
      <c r="C145" s="108" t="s">
        <v>1009</v>
      </c>
      <c r="D145" s="109" t="s">
        <v>1017</v>
      </c>
      <c r="E145" s="108">
        <v>1113.75</v>
      </c>
      <c r="F145" s="110">
        <v>45672</v>
      </c>
      <c r="G145" s="86" t="s">
        <v>69</v>
      </c>
      <c r="H145" s="27">
        <v>79</v>
      </c>
      <c r="I145" s="29">
        <v>1113</v>
      </c>
      <c r="J145" s="30">
        <v>45683</v>
      </c>
      <c r="K145" s="31">
        <v>37</v>
      </c>
      <c r="L145" s="32" t="s">
        <v>2</v>
      </c>
      <c r="M145" s="32" t="s">
        <v>4</v>
      </c>
      <c r="N145" s="34">
        <f>I145*50</f>
        <v>55650</v>
      </c>
      <c r="O145" s="35">
        <v>55650</v>
      </c>
      <c r="P145" s="251">
        <f>N145-O145</f>
        <v>0</v>
      </c>
      <c r="Q145" s="36">
        <f>I145*H145/2</f>
        <v>43963.5</v>
      </c>
      <c r="R145" s="37">
        <v>43964</v>
      </c>
      <c r="S145" s="36">
        <f t="shared" si="31"/>
        <v>-0.5</v>
      </c>
      <c r="T145" s="74" t="s">
        <v>1018</v>
      </c>
      <c r="U145" s="36">
        <v>289380</v>
      </c>
      <c r="V145" s="252" t="s">
        <v>702</v>
      </c>
      <c r="W145" s="74" t="s">
        <v>1012</v>
      </c>
      <c r="X145" s="253" t="s">
        <v>1013</v>
      </c>
      <c r="Y145" s="77" t="s">
        <v>1014</v>
      </c>
      <c r="Z145" s="252" t="s">
        <v>702</v>
      </c>
      <c r="AA145" s="253" t="s">
        <v>1015</v>
      </c>
      <c r="AB145" s="39" t="s">
        <v>1016</v>
      </c>
      <c r="AC145" s="83"/>
      <c r="AD145" s="83"/>
    </row>
    <row r="146" spans="1:30" s="84" customFormat="1" ht="33.75" customHeight="1" x14ac:dyDescent="0.25">
      <c r="A146" s="80">
        <v>221</v>
      </c>
      <c r="B146" s="80" t="s">
        <v>962</v>
      </c>
      <c r="C146" s="80" t="s">
        <v>1009</v>
      </c>
      <c r="D146" s="81" t="s">
        <v>1019</v>
      </c>
      <c r="E146" s="80">
        <v>5237.2700000000004</v>
      </c>
      <c r="F146" s="82">
        <v>45371</v>
      </c>
      <c r="G146" s="86" t="s">
        <v>69</v>
      </c>
      <c r="H146" s="27">
        <v>79</v>
      </c>
      <c r="I146" s="29">
        <v>3900</v>
      </c>
      <c r="J146" s="30">
        <v>45395</v>
      </c>
      <c r="K146" s="31">
        <v>34</v>
      </c>
      <c r="L146" s="32" t="s">
        <v>55</v>
      </c>
      <c r="M146" s="87" t="s">
        <v>161</v>
      </c>
      <c r="N146" s="35">
        <v>0</v>
      </c>
      <c r="O146" s="35">
        <v>0</v>
      </c>
      <c r="P146" s="35">
        <f t="shared" ref="P146" si="41">N146-O146</f>
        <v>0</v>
      </c>
      <c r="Q146" s="36">
        <v>206800</v>
      </c>
      <c r="R146" s="37">
        <f>81015+31742</f>
        <v>112757</v>
      </c>
      <c r="S146" s="36">
        <f t="shared" si="31"/>
        <v>94043</v>
      </c>
      <c r="T146" s="74" t="s">
        <v>1020</v>
      </c>
      <c r="U146" s="36">
        <v>1014000</v>
      </c>
      <c r="V146" s="75" t="s">
        <v>170</v>
      </c>
      <c r="W146" s="74" t="s">
        <v>1021</v>
      </c>
      <c r="X146" s="95" t="s">
        <v>1022</v>
      </c>
      <c r="Y146" s="77" t="s">
        <v>1023</v>
      </c>
      <c r="Z146" s="75" t="s">
        <v>170</v>
      </c>
      <c r="AA146" s="38" t="s">
        <v>1024</v>
      </c>
      <c r="AB146" s="77" t="s">
        <v>1025</v>
      </c>
      <c r="AC146" s="83"/>
      <c r="AD146" s="83"/>
    </row>
    <row r="147" spans="1:30" s="84" customFormat="1" ht="25.5" customHeight="1" x14ac:dyDescent="0.25">
      <c r="A147" s="80">
        <v>222</v>
      </c>
      <c r="B147" s="80" t="s">
        <v>962</v>
      </c>
      <c r="C147" s="80" t="s">
        <v>1009</v>
      </c>
      <c r="D147" s="81" t="s">
        <v>1026</v>
      </c>
      <c r="E147" s="80">
        <v>1004.38</v>
      </c>
      <c r="F147" s="82">
        <v>45374</v>
      </c>
      <c r="G147" s="86" t="s">
        <v>27</v>
      </c>
      <c r="H147" s="27">
        <v>74</v>
      </c>
      <c r="I147" s="29">
        <v>826</v>
      </c>
      <c r="J147" s="30">
        <v>45397</v>
      </c>
      <c r="K147" s="31">
        <v>33</v>
      </c>
      <c r="L147" s="32" t="s">
        <v>2</v>
      </c>
      <c r="M147" s="32" t="s">
        <v>4</v>
      </c>
      <c r="N147" s="34">
        <v>41300</v>
      </c>
      <c r="O147" s="35">
        <v>0</v>
      </c>
      <c r="P147" s="251">
        <f>N147-O147</f>
        <v>41300</v>
      </c>
      <c r="Q147" s="36">
        <v>30562</v>
      </c>
      <c r="R147" s="37">
        <v>0</v>
      </c>
      <c r="S147" s="36">
        <f t="shared" si="31"/>
        <v>30562</v>
      </c>
      <c r="T147" s="74" t="s">
        <v>1027</v>
      </c>
      <c r="U147" s="36">
        <v>214760</v>
      </c>
      <c r="V147" s="252" t="s">
        <v>1028</v>
      </c>
      <c r="W147" s="74" t="s">
        <v>1029</v>
      </c>
      <c r="X147" s="253" t="s">
        <v>1030</v>
      </c>
      <c r="Y147" s="77" t="s">
        <v>1031</v>
      </c>
      <c r="Z147" s="252" t="s">
        <v>1028</v>
      </c>
      <c r="AA147" s="253" t="s">
        <v>1030</v>
      </c>
      <c r="AB147" s="39" t="s">
        <v>1032</v>
      </c>
      <c r="AC147" s="83"/>
      <c r="AD147" s="83"/>
    </row>
    <row r="148" spans="1:30" s="84" customFormat="1" ht="31.5" customHeight="1" x14ac:dyDescent="0.25">
      <c r="A148" s="63">
        <v>224</v>
      </c>
      <c r="B148" s="63" t="s">
        <v>962</v>
      </c>
      <c r="C148" s="63" t="s">
        <v>1033</v>
      </c>
      <c r="D148" s="254" t="s">
        <v>459</v>
      </c>
      <c r="E148" s="80">
        <v>4905</v>
      </c>
      <c r="F148" s="82">
        <v>45368</v>
      </c>
      <c r="G148" s="86" t="s">
        <v>69</v>
      </c>
      <c r="H148" s="27">
        <v>79</v>
      </c>
      <c r="I148" s="29">
        <v>4905</v>
      </c>
      <c r="J148" s="30">
        <v>45390</v>
      </c>
      <c r="K148" s="31">
        <v>40</v>
      </c>
      <c r="L148" s="32" t="s">
        <v>55</v>
      </c>
      <c r="M148" s="122" t="s">
        <v>1034</v>
      </c>
      <c r="N148" s="34">
        <v>0</v>
      </c>
      <c r="O148" s="35">
        <v>0</v>
      </c>
      <c r="P148" s="251">
        <f>N148-O148</f>
        <v>0</v>
      </c>
      <c r="Q148" s="36">
        <f>I148*H148/2</f>
        <v>193747.5</v>
      </c>
      <c r="R148" s="35">
        <v>0</v>
      </c>
      <c r="S148" s="36">
        <f>Q148-R148</f>
        <v>193747.5</v>
      </c>
      <c r="T148" s="74" t="s">
        <v>1035</v>
      </c>
      <c r="U148" s="36">
        <v>0</v>
      </c>
      <c r="V148" s="223" t="s">
        <v>48</v>
      </c>
      <c r="W148" s="74" t="s">
        <v>1036</v>
      </c>
      <c r="X148" s="77" t="s">
        <v>1037</v>
      </c>
      <c r="Y148" s="77" t="s">
        <v>1038</v>
      </c>
      <c r="Z148" s="77" t="s">
        <v>48</v>
      </c>
      <c r="AA148" s="253" t="s">
        <v>1039</v>
      </c>
      <c r="AB148" s="85" t="s">
        <v>1040</v>
      </c>
      <c r="AC148" s="83"/>
      <c r="AD148" s="83"/>
    </row>
    <row r="149" spans="1:30" s="84" customFormat="1" ht="31.5" customHeight="1" x14ac:dyDescent="0.25">
      <c r="A149" s="63">
        <v>224</v>
      </c>
      <c r="B149" s="63" t="s">
        <v>962</v>
      </c>
      <c r="C149" s="63" t="s">
        <v>1033</v>
      </c>
      <c r="D149" s="254" t="s">
        <v>1041</v>
      </c>
      <c r="E149" s="80">
        <v>3000</v>
      </c>
      <c r="F149" s="82"/>
      <c r="G149" s="86" t="s">
        <v>69</v>
      </c>
      <c r="H149" s="27">
        <v>79</v>
      </c>
      <c r="I149" s="29">
        <v>2000</v>
      </c>
      <c r="J149" s="30">
        <v>45600</v>
      </c>
      <c r="K149" s="31">
        <v>24</v>
      </c>
      <c r="L149" s="32" t="s">
        <v>2</v>
      </c>
      <c r="M149" s="122" t="s">
        <v>244</v>
      </c>
      <c r="N149" s="34">
        <v>0</v>
      </c>
      <c r="O149" s="35">
        <v>0</v>
      </c>
      <c r="P149" s="251">
        <f>N149-O149</f>
        <v>0</v>
      </c>
      <c r="Q149" s="36">
        <f>I149*H149/2</f>
        <v>79000</v>
      </c>
      <c r="R149" s="35">
        <v>79000</v>
      </c>
      <c r="S149" s="36">
        <f>Q149-R149</f>
        <v>0</v>
      </c>
      <c r="T149" s="125" t="s">
        <v>147</v>
      </c>
      <c r="U149" s="126">
        <v>0</v>
      </c>
      <c r="V149" s="230">
        <v>0</v>
      </c>
      <c r="W149" s="125"/>
      <c r="X149" s="130"/>
      <c r="Y149" s="130"/>
      <c r="Z149" s="130"/>
      <c r="AA149" s="253" t="s">
        <v>1042</v>
      </c>
      <c r="AB149" s="85" t="s">
        <v>1043</v>
      </c>
      <c r="AC149" s="83"/>
      <c r="AD149" s="83"/>
    </row>
    <row r="150" spans="1:30" ht="27" customHeight="1" x14ac:dyDescent="0.25">
      <c r="A150" s="255">
        <v>226</v>
      </c>
      <c r="B150" s="255" t="s">
        <v>962</v>
      </c>
      <c r="C150" s="255" t="s">
        <v>962</v>
      </c>
      <c r="D150" s="256" t="s">
        <v>928</v>
      </c>
      <c r="E150" s="90">
        <v>5073.75</v>
      </c>
      <c r="F150" s="91">
        <v>45370</v>
      </c>
      <c r="G150" s="26" t="s">
        <v>69</v>
      </c>
      <c r="H150" s="27">
        <v>79</v>
      </c>
      <c r="I150" s="29">
        <v>2500</v>
      </c>
      <c r="J150" s="30">
        <v>45677</v>
      </c>
      <c r="K150" s="31">
        <v>64</v>
      </c>
      <c r="L150" s="32" t="s">
        <v>55</v>
      </c>
      <c r="M150" s="32" t="s">
        <v>4</v>
      </c>
      <c r="N150" s="34">
        <f>I150*50</f>
        <v>125000</v>
      </c>
      <c r="O150" s="35">
        <v>0</v>
      </c>
      <c r="P150" s="34">
        <f>N150-O150</f>
        <v>125000</v>
      </c>
      <c r="Q150" s="36">
        <f t="shared" ref="Q150:Q155" si="42">I150*H150/2</f>
        <v>98750</v>
      </c>
      <c r="R150" s="37">
        <f>65754</f>
        <v>65754</v>
      </c>
      <c r="S150" s="36">
        <f t="shared" ref="S150:S155" si="43">Q150-R150</f>
        <v>32996</v>
      </c>
      <c r="T150" s="93" t="s">
        <v>1044</v>
      </c>
      <c r="U150" s="227">
        <v>650000</v>
      </c>
      <c r="V150" s="257" t="s">
        <v>651</v>
      </c>
      <c r="W150" s="74" t="s">
        <v>1045</v>
      </c>
      <c r="X150" s="95" t="s">
        <v>1046</v>
      </c>
      <c r="Y150" s="77" t="s">
        <v>1047</v>
      </c>
      <c r="Z150" s="257" t="s">
        <v>651</v>
      </c>
      <c r="AA150" s="39" t="s">
        <v>1048</v>
      </c>
      <c r="AB150" s="39" t="s">
        <v>1049</v>
      </c>
      <c r="AC150" s="83"/>
      <c r="AD150" s="83"/>
    </row>
    <row r="151" spans="1:30" s="23" customFormat="1" ht="27" customHeight="1" x14ac:dyDescent="0.25">
      <c r="A151" s="255">
        <v>226</v>
      </c>
      <c r="B151" s="255" t="s">
        <v>962</v>
      </c>
      <c r="C151" s="255" t="s">
        <v>962</v>
      </c>
      <c r="D151" s="256" t="s">
        <v>1050</v>
      </c>
      <c r="E151" s="90"/>
      <c r="F151" s="91"/>
      <c r="G151" s="258" t="s">
        <v>69</v>
      </c>
      <c r="H151" s="28">
        <v>79</v>
      </c>
      <c r="I151" s="259">
        <v>200</v>
      </c>
      <c r="J151" s="200">
        <v>45387</v>
      </c>
      <c r="K151" s="199">
        <v>64</v>
      </c>
      <c r="L151" s="6" t="s">
        <v>55</v>
      </c>
      <c r="M151" s="6" t="s">
        <v>4</v>
      </c>
      <c r="N151" s="203">
        <f>I151*50</f>
        <v>10000</v>
      </c>
      <c r="O151" s="203">
        <v>0</v>
      </c>
      <c r="P151" s="203">
        <f>N151-O151</f>
        <v>10000</v>
      </c>
      <c r="Q151" s="204">
        <f t="shared" si="42"/>
        <v>7900</v>
      </c>
      <c r="R151" s="205">
        <v>0</v>
      </c>
      <c r="S151" s="204">
        <f t="shared" si="43"/>
        <v>7900</v>
      </c>
      <c r="T151" s="260" t="s">
        <v>1051</v>
      </c>
      <c r="U151" s="261">
        <v>52000</v>
      </c>
      <c r="V151" s="262" t="s">
        <v>651</v>
      </c>
      <c r="W151" s="186" t="s">
        <v>1045</v>
      </c>
      <c r="X151" s="214" t="s">
        <v>1046</v>
      </c>
      <c r="Y151" s="188" t="s">
        <v>1047</v>
      </c>
      <c r="Z151" s="262" t="s">
        <v>651</v>
      </c>
      <c r="AA151" s="263" t="s">
        <v>1048</v>
      </c>
      <c r="AB151" s="263" t="s">
        <v>1049</v>
      </c>
      <c r="AC151" s="79"/>
      <c r="AD151" s="79"/>
    </row>
    <row r="152" spans="1:30" ht="33.75" customHeight="1" x14ac:dyDescent="0.25">
      <c r="A152" s="264">
        <v>227</v>
      </c>
      <c r="B152" s="264" t="s">
        <v>962</v>
      </c>
      <c r="C152" s="264" t="s">
        <v>962</v>
      </c>
      <c r="D152" s="265" t="s">
        <v>1052</v>
      </c>
      <c r="E152" s="90">
        <v>5543.44</v>
      </c>
      <c r="F152" s="91">
        <v>45370</v>
      </c>
      <c r="G152" s="258" t="s">
        <v>27</v>
      </c>
      <c r="H152" s="28">
        <v>74</v>
      </c>
      <c r="I152" s="259">
        <v>1000</v>
      </c>
      <c r="J152" s="200">
        <v>45397</v>
      </c>
      <c r="K152" s="199" t="s">
        <v>1053</v>
      </c>
      <c r="L152" s="6" t="s">
        <v>2</v>
      </c>
      <c r="M152" s="6" t="s">
        <v>4</v>
      </c>
      <c r="N152" s="203">
        <f>I152*50</f>
        <v>50000</v>
      </c>
      <c r="O152" s="203">
        <v>0</v>
      </c>
      <c r="P152" s="203">
        <f>N152-O152</f>
        <v>50000</v>
      </c>
      <c r="Q152" s="204">
        <f t="shared" si="42"/>
        <v>37000</v>
      </c>
      <c r="R152" s="205">
        <v>0</v>
      </c>
      <c r="S152" s="204">
        <f t="shared" si="43"/>
        <v>37000</v>
      </c>
      <c r="T152" s="260" t="s">
        <v>1054</v>
      </c>
      <c r="U152" s="261">
        <v>260000</v>
      </c>
      <c r="V152" s="262" t="s">
        <v>48</v>
      </c>
      <c r="W152" s="186" t="s">
        <v>1055</v>
      </c>
      <c r="X152" s="214" t="s">
        <v>1052</v>
      </c>
      <c r="Y152" s="188" t="s">
        <v>1056</v>
      </c>
      <c r="Z152" s="262" t="s">
        <v>48</v>
      </c>
      <c r="AA152" s="266" t="s">
        <v>1057</v>
      </c>
      <c r="AB152" s="263" t="s">
        <v>1058</v>
      </c>
      <c r="AC152" s="79"/>
      <c r="AD152" s="79"/>
    </row>
    <row r="153" spans="1:30" ht="34.5" customHeight="1" x14ac:dyDescent="0.25">
      <c r="A153" s="255">
        <v>228</v>
      </c>
      <c r="B153" s="255" t="s">
        <v>962</v>
      </c>
      <c r="C153" s="255" t="s">
        <v>962</v>
      </c>
      <c r="D153" s="256" t="s">
        <v>1059</v>
      </c>
      <c r="E153" s="90">
        <v>22666.5</v>
      </c>
      <c r="F153" s="91">
        <v>45370</v>
      </c>
      <c r="G153" s="26" t="s">
        <v>27</v>
      </c>
      <c r="H153" s="27">
        <v>74</v>
      </c>
      <c r="I153" s="29">
        <v>13234</v>
      </c>
      <c r="J153" s="30">
        <v>45307</v>
      </c>
      <c r="K153" s="31">
        <v>74</v>
      </c>
      <c r="L153" s="32" t="s">
        <v>55</v>
      </c>
      <c r="M153" s="87" t="s">
        <v>1060</v>
      </c>
      <c r="N153" s="34">
        <v>0</v>
      </c>
      <c r="O153" s="35">
        <v>0</v>
      </c>
      <c r="P153" s="34">
        <f>N153-O153</f>
        <v>0</v>
      </c>
      <c r="Q153" s="36">
        <f t="shared" si="42"/>
        <v>489658</v>
      </c>
      <c r="R153" s="37">
        <v>56474</v>
      </c>
      <c r="S153" s="36">
        <f t="shared" si="43"/>
        <v>433184</v>
      </c>
      <c r="T153" s="93" t="s">
        <v>1061</v>
      </c>
      <c r="U153" s="227">
        <v>3440840</v>
      </c>
      <c r="V153" s="257" t="s">
        <v>132</v>
      </c>
      <c r="W153" s="74" t="s">
        <v>1062</v>
      </c>
      <c r="X153" s="95" t="s">
        <v>1059</v>
      </c>
      <c r="Y153" s="77" t="s">
        <v>1063</v>
      </c>
      <c r="Z153" s="257" t="s">
        <v>132</v>
      </c>
      <c r="AA153" s="95" t="s">
        <v>1059</v>
      </c>
      <c r="AB153" s="39" t="s">
        <v>1064</v>
      </c>
      <c r="AC153" s="83"/>
      <c r="AD153" s="83"/>
    </row>
    <row r="154" spans="1:30" ht="29.25" customHeight="1" x14ac:dyDescent="0.25">
      <c r="A154" s="264">
        <v>229</v>
      </c>
      <c r="B154" s="264" t="s">
        <v>962</v>
      </c>
      <c r="C154" s="264" t="s">
        <v>962</v>
      </c>
      <c r="D154" s="265" t="s">
        <v>1065</v>
      </c>
      <c r="E154" s="90">
        <v>4252.5</v>
      </c>
      <c r="F154" s="91">
        <v>45369</v>
      </c>
      <c r="G154" s="258" t="s">
        <v>69</v>
      </c>
      <c r="H154" s="28">
        <v>79</v>
      </c>
      <c r="I154" s="259">
        <v>1000</v>
      </c>
      <c r="J154" s="200">
        <v>45387</v>
      </c>
      <c r="K154" s="199">
        <v>73</v>
      </c>
      <c r="L154" s="6" t="s">
        <v>55</v>
      </c>
      <c r="M154" s="6" t="s">
        <v>4</v>
      </c>
      <c r="N154" s="203">
        <f>I154*50</f>
        <v>50000</v>
      </c>
      <c r="O154" s="203">
        <v>50000</v>
      </c>
      <c r="P154" s="203">
        <f>N154-O154</f>
        <v>0</v>
      </c>
      <c r="Q154" s="204">
        <f t="shared" si="42"/>
        <v>39500</v>
      </c>
      <c r="R154" s="205">
        <v>39500</v>
      </c>
      <c r="S154" s="204">
        <f t="shared" si="43"/>
        <v>0</v>
      </c>
      <c r="T154" s="260" t="s">
        <v>1066</v>
      </c>
      <c r="U154" s="261">
        <v>260000</v>
      </c>
      <c r="V154" s="257" t="s">
        <v>651</v>
      </c>
      <c r="W154" s="186" t="s">
        <v>1067</v>
      </c>
      <c r="X154" s="214" t="s">
        <v>1068</v>
      </c>
      <c r="Y154" s="188" t="s">
        <v>1047</v>
      </c>
      <c r="Z154" s="257" t="s">
        <v>651</v>
      </c>
      <c r="AA154" s="214" t="s">
        <v>1069</v>
      </c>
      <c r="AB154" s="263" t="s">
        <v>1070</v>
      </c>
      <c r="AC154" s="79"/>
      <c r="AD154" s="79"/>
    </row>
    <row r="155" spans="1:30" ht="33" customHeight="1" x14ac:dyDescent="0.25">
      <c r="A155" s="255">
        <v>238</v>
      </c>
      <c r="B155" s="255" t="s">
        <v>962</v>
      </c>
      <c r="C155" s="255" t="s">
        <v>962</v>
      </c>
      <c r="D155" s="256" t="s">
        <v>1071</v>
      </c>
      <c r="E155" s="90">
        <v>1875</v>
      </c>
      <c r="F155" s="91">
        <v>45367</v>
      </c>
      <c r="G155" s="258" t="s">
        <v>69</v>
      </c>
      <c r="H155" s="28">
        <v>79</v>
      </c>
      <c r="I155" s="259">
        <v>200</v>
      </c>
      <c r="J155" s="200">
        <v>45391</v>
      </c>
      <c r="K155" s="199">
        <v>54</v>
      </c>
      <c r="L155" s="6" t="s">
        <v>55</v>
      </c>
      <c r="M155" s="6" t="s">
        <v>4</v>
      </c>
      <c r="N155" s="203">
        <f>I155*50</f>
        <v>10000</v>
      </c>
      <c r="O155" s="203">
        <v>0</v>
      </c>
      <c r="P155" s="203">
        <f>N155-O155</f>
        <v>10000</v>
      </c>
      <c r="Q155" s="204">
        <f t="shared" si="42"/>
        <v>7900</v>
      </c>
      <c r="R155" s="205">
        <v>0</v>
      </c>
      <c r="S155" s="204">
        <f t="shared" si="43"/>
        <v>7900</v>
      </c>
      <c r="T155" s="260" t="s">
        <v>1072</v>
      </c>
      <c r="U155" s="261">
        <v>52000</v>
      </c>
      <c r="V155" s="257" t="s">
        <v>651</v>
      </c>
      <c r="W155" s="186" t="s">
        <v>1073</v>
      </c>
      <c r="X155" s="214" t="s">
        <v>1074</v>
      </c>
      <c r="Y155" s="188" t="s">
        <v>1047</v>
      </c>
      <c r="Z155" s="257" t="s">
        <v>651</v>
      </c>
      <c r="AA155" s="214" t="s">
        <v>1074</v>
      </c>
      <c r="AB155" s="263" t="s">
        <v>1075</v>
      </c>
      <c r="AC155" s="79"/>
      <c r="AD155" s="79"/>
    </row>
    <row r="163" spans="4:4" x14ac:dyDescent="0.25">
      <c r="D163" s="3" t="s">
        <v>1076</v>
      </c>
    </row>
  </sheetData>
  <autoFilter ref="A2:EB155" xr:uid="{CF631AD5-FDE6-453E-AA19-51B98A3B9786}"/>
  <pageMargins left="0.11811023622047245" right="0.11811023622047245" top="0.15748031496062992" bottom="0.15748031496062992" header="0.11811023622047245" footer="0.11811023622047245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2025-26</vt:lpstr>
      <vt:lpstr>2024-25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2026-04-01T10:11:52Z</dcterms:modified>
</cp:coreProperties>
</file>